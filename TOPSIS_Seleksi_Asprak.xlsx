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" sheetId="1" r:id="rId4"/>
    <sheet state="visible" name="Bobot &amp; Kriteria" sheetId="2" r:id="rId5"/>
    <sheet state="visible" name="Data Calon" sheetId="3" r:id="rId6"/>
    <sheet state="visible" name="Struktur Data" sheetId="4" r:id="rId7"/>
    <sheet state="visible" name="Basis Data" sheetId="5" r:id="rId8"/>
    <sheet state="visible" name="Sistem Operasi" sheetId="6" r:id="rId9"/>
    <sheet state="visible" name="Pemrograman Web I" sheetId="7" r:id="rId10"/>
    <sheet state="visible" name="Rekap Ranking" sheetId="8" r:id="rId11"/>
  </sheets>
  <definedNames/>
  <calcPr/>
  <extLst>
    <ext uri="GoogleSheetsCustomDataVersion2">
      <go:sheetsCustomData xmlns:go="http://customooxmlschemas.google.com/" r:id="rId12" roundtripDataChecksum="0PN37FQc/PjNAgTgl1z1C7n1DCm5CWPleX6EBKNCOFI="/>
    </ext>
  </extLst>
</workbook>
</file>

<file path=xl/sharedStrings.xml><?xml version="1.0" encoding="utf-8"?>
<sst xmlns="http://schemas.openxmlformats.org/spreadsheetml/2006/main" count="385" uniqueCount="136">
  <si>
    <t>SISTEM PENDUKUNG KEPUTUSAN – SELEKSI ASISTEN PRAKTIKUM</t>
  </si>
  <si>
    <t>Metode TOPSIS | Jurusan Informatika – Universitas Jenderal Soedirman | 2026</t>
  </si>
  <si>
    <t>STRUKTUR WORKBOOK</t>
  </si>
  <si>
    <t>Sheet 'Petunjuk'</t>
  </si>
  <si>
    <t>Panduan penggunaan workbook ini</t>
  </si>
  <si>
    <t>Sheet 'Bobot &amp; Kriteria'</t>
  </si>
  <si>
    <t>Definisi kriteria, bobot, dan tipe (Benefit/Cost)</t>
  </si>
  <si>
    <t>Sheet 'Data Calon'</t>
  </si>
  <si>
    <t>Input nilai calon asisten per mata kuliah</t>
  </si>
  <si>
    <t>Sheet '&lt;Nama Matkul&gt;'</t>
  </si>
  <si>
    <t>Sheet perhitungan TOPSIS otomatis per matkul</t>
  </si>
  <si>
    <t>Sheet 'Rekap Ranking'</t>
  </si>
  <si>
    <t>Rekapitulasi ranking akhir semua matkul</t>
  </si>
  <si>
    <t>CARA PENGGUNAAN</t>
  </si>
  <si>
    <t>1.</t>
  </si>
  <si>
    <t>Lihat sheet 'Bobot &amp; Kriteria' untuk melihat/mengubah bobot penilaian</t>
  </si>
  <si>
    <t>2.</t>
  </si>
  <si>
    <t>Masukkan data nilai calon di sheet 'Data Calon' kolom sesuai matkul</t>
  </si>
  <si>
    <t>3.</t>
  </si>
  <si>
    <t>Hasil perhitungan TOPSIS otomatis muncul di sheet per matkul</t>
  </si>
  <si>
    <t>4.</t>
  </si>
  <si>
    <t>Lihat ranking final di sheet 'Rekap Ranking'</t>
  </si>
  <si>
    <t>KRITERIA PENILAIAN</t>
  </si>
  <si>
    <t>C1 – Public Speaking (30%)</t>
  </si>
  <si>
    <t>Benefit → semakin tinggi semakin baik</t>
  </si>
  <si>
    <t>C2 – Penguasaan Materi (30%)</t>
  </si>
  <si>
    <t>C3 – Nilai MK Terkait (10%)</t>
  </si>
  <si>
    <t>C4 – Micro Teaching (10%)</t>
  </si>
  <si>
    <t>C5 – Latihan Soal (15%)</t>
  </si>
  <si>
    <t>C6 – Keaktifan Mahasiswa (5%)</t>
  </si>
  <si>
    <t>Cost   → semakin rendah semakin baik (hindari konflik waktu)</t>
  </si>
  <si>
    <t>BOBOT DAN KRITERIA PENILAIAN</t>
  </si>
  <si>
    <t>Kode</t>
  </si>
  <si>
    <t>Kriteria</t>
  </si>
  <si>
    <t>Bobot</t>
  </si>
  <si>
    <t>Tipe</t>
  </si>
  <si>
    <t>Keterangan</t>
  </si>
  <si>
    <t>C1</t>
  </si>
  <si>
    <t>Public Speaking</t>
  </si>
  <si>
    <t>Benefit</t>
  </si>
  <si>
    <t>Kemampuan berbicara di depan umum, menyampaikan materi dengan jelas</t>
  </si>
  <si>
    <t>C2</t>
  </si>
  <si>
    <t>Penguasaan Materi</t>
  </si>
  <si>
    <t>Penguasaan konten matkul yang diampu secara mendalam</t>
  </si>
  <si>
    <t>C3</t>
  </si>
  <si>
    <t>Nilai MK</t>
  </si>
  <si>
    <t>Rekam jejak akademik (nilai minimum B pada matkul terkait)</t>
  </si>
  <si>
    <t>C4</t>
  </si>
  <si>
    <t>Micro Teaching</t>
  </si>
  <si>
    <t>Simulasi mengajar untuk menilai kompetensi pedagogik</t>
  </si>
  <si>
    <t>C5</t>
  </si>
  <si>
    <t>Latihan Soal</t>
  </si>
  <si>
    <t>Kemampuan analytical thinking dan problem solving</t>
  </si>
  <si>
    <t>C6</t>
  </si>
  <si>
    <t>Keaktifan Mhs</t>
  </si>
  <si>
    <t>Cost</t>
  </si>
  <si>
    <t>Beban kegiatan luar kampus (tinggi = potensi konflik waktu)</t>
  </si>
  <si>
    <t>TOTAL BOBOT</t>
  </si>
  <si>
    <t>DATA NILAI CALON ASISTEN PRAKTIKUM</t>
  </si>
  <si>
    <t>Skala Nilai: 0 – 100  |  Isi kolom nilai sesuai hasil screening</t>
  </si>
  <si>
    <t>No</t>
  </si>
  <si>
    <t>Nama Kandidat</t>
  </si>
  <si>
    <t>Mata Kuliah</t>
  </si>
  <si>
    <t>C1
Public Speaking</t>
  </si>
  <si>
    <t>C2
Penguasaan Materi</t>
  </si>
  <si>
    <t>C3
Nilai MK</t>
  </si>
  <si>
    <t>C4
Micro Teaching</t>
  </si>
  <si>
    <t>C5
Latihan Soal</t>
  </si>
  <si>
    <t>C6
Keaktifan Mhs</t>
  </si>
  <si>
    <t>Haniel Wijanarko</t>
  </si>
  <si>
    <t>Struktur Data</t>
  </si>
  <si>
    <t>Farhan</t>
  </si>
  <si>
    <t>Faqih Ardiansyah</t>
  </si>
  <si>
    <t>Pancar</t>
  </si>
  <si>
    <t>Satria</t>
  </si>
  <si>
    <t>Aufa Salsabila</t>
  </si>
  <si>
    <t>Raihan Dwi Ananda H.</t>
  </si>
  <si>
    <t>Ferdi Waskito</t>
  </si>
  <si>
    <t>Basis Data</t>
  </si>
  <si>
    <t>Ali Muhammad Firdaus</t>
  </si>
  <si>
    <t>Latifa</t>
  </si>
  <si>
    <t>Fikry Mumtaz</t>
  </si>
  <si>
    <t>Talitha</t>
  </si>
  <si>
    <t>Sistem Operasi</t>
  </si>
  <si>
    <t>Fahmi Arif Setiawan</t>
  </si>
  <si>
    <t>Izaz Falih</t>
  </si>
  <si>
    <t>Salma F</t>
  </si>
  <si>
    <t>Biladi</t>
  </si>
  <si>
    <t>Nafisah</t>
  </si>
  <si>
    <t>Fahri</t>
  </si>
  <si>
    <t>Pemrograman Web I</t>
  </si>
  <si>
    <t>Yoga Adi</t>
  </si>
  <si>
    <t>Tsaqif Hasbi A.S.</t>
  </si>
  <si>
    <t>Gilang Happy D.</t>
  </si>
  <si>
    <t>Athaya Raihan</t>
  </si>
  <si>
    <t>M Umar Faiz</t>
  </si>
  <si>
    <t>PERHITUNGAN TOPSIS – STRUKTUR DATA</t>
  </si>
  <si>
    <t>Metode TOPSIS (Technique for Order Preference by Similarity to Ideal Solution)</t>
  </si>
  <si>
    <t>A. MATRIKS KEPUTUSAN (DATA NILAI AWAL)</t>
  </si>
  <si>
    <t>Nama</t>
  </si>
  <si>
    <t>C2
Penguasaan
Materi</t>
  </si>
  <si>
    <t>C6
Keaktifan
Mhs</t>
  </si>
  <si>
    <t>√(ΣXij²)</t>
  </si>
  <si>
    <t>Bobot (wj)</t>
  </si>
  <si>
    <t>B. MATRIKS NORMALISASI (rij = Xij / √(ΣXij²))</t>
  </si>
  <si>
    <t>r1</t>
  </si>
  <si>
    <t>r2</t>
  </si>
  <si>
    <t>r3</t>
  </si>
  <si>
    <t>r4</t>
  </si>
  <si>
    <t>r5</t>
  </si>
  <si>
    <t>r6</t>
  </si>
  <si>
    <t>C. MATRIKS NORMALISASI TERBOBOT (vij = wj × rij)</t>
  </si>
  <si>
    <t>v1</t>
  </si>
  <si>
    <t>v2</t>
  </si>
  <si>
    <t>v3</t>
  </si>
  <si>
    <t>v4</t>
  </si>
  <si>
    <t>v5</t>
  </si>
  <si>
    <t>v6</t>
  </si>
  <si>
    <t>A⁺ (Ideal Positif)</t>
  </si>
  <si>
    <t>A⁻ (Ideal Negatif)</t>
  </si>
  <si>
    <t>D. JARAK DAN NILAI PREFERENSI (SKOR TOPSIS)</t>
  </si>
  <si>
    <t>D⁺
(Jarak ke A⁺)</t>
  </si>
  <si>
    <t>D⁻
(Jarak ke A⁻)</t>
  </si>
  <si>
    <t>Skor
Preferensi</t>
  </si>
  <si>
    <t>Ranking</t>
  </si>
  <si>
    <t>Rekomendasi</t>
  </si>
  <si>
    <t>PERHITUNGAN TOPSIS – BASIS DATA</t>
  </si>
  <si>
    <t>PERHITUNGAN TOPSIS – SISTEM OPERASI</t>
  </si>
  <si>
    <t>PERHITUNGAN TOPSIS – PEMROGRAMAN WEB I</t>
  </si>
  <si>
    <t>REKAPITULASI RANKING ASISTEN PRAKTIKUM</t>
  </si>
  <si>
    <t>Hasil Perhitungan Metode TOPSIS | Top 3 Kandidat Per Mata Kuliah</t>
  </si>
  <si>
    <t>Skor TOPSIS</t>
  </si>
  <si>
    <t>Mata Kuliah: Struktur Data</t>
  </si>
  <si>
    <t>Mata Kuliah: Basis Data</t>
  </si>
  <si>
    <t>Mata Kuliah: Sistem Operasi</t>
  </si>
  <si>
    <t>Mata Kuliah: Pemrograman Web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</si>
</sst>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4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3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i/>
      <sz val="10.0"/>
      <color theme="1"/>
      <name val="Arial"/>
    </font>
    <font>
      <b/>
      <sz val="11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rgb="FF00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0C343D"/>
        <bgColor rgb="FF0C343D"/>
      </patternFill>
    </fill>
    <fill>
      <patternFill patternType="solid">
        <fgColor rgb="FFB8CCE4"/>
        <bgColor rgb="FFB8CCE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9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7" fillId="0" fontId="4" numFmtId="9" xfId="0" applyAlignment="1" applyBorder="1" applyFont="1" applyNumberFormat="1">
      <alignment horizontal="center" shrinkToFit="0" vertical="center" wrapText="1"/>
    </xf>
    <xf borderId="1" fillId="0" fontId="8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7" fillId="0" fontId="4" numFmtId="164" xfId="0" applyAlignment="1" applyBorder="1" applyFont="1" applyNumberFormat="1">
      <alignment horizontal="center" shrinkToFit="0" vertical="center" wrapText="1"/>
    </xf>
    <xf borderId="7" fillId="0" fontId="5" numFmtId="164" xfId="0" applyAlignment="1" applyBorder="1" applyFont="1" applyNumberFormat="1">
      <alignment horizontal="center" shrinkToFit="0" vertical="center" wrapText="1"/>
    </xf>
    <xf borderId="7" fillId="0" fontId="8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7" fillId="5" fontId="5" numFmtId="0" xfId="0" applyAlignment="1" applyBorder="1" applyFill="1" applyFont="1">
      <alignment horizontal="center" shrinkToFit="0" vertical="center" wrapText="1"/>
    </xf>
    <xf borderId="7" fillId="6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7" fillId="0" fontId="10" numFmtId="164" xfId="0" applyAlignment="1" applyBorder="1" applyFont="1" applyNumberFormat="1">
      <alignment horizontal="center" shrinkToFit="0" vertical="center" wrapText="1"/>
    </xf>
    <xf borderId="7" fillId="0" fontId="10" numFmtId="9" xfId="0" applyAlignment="1" applyBorder="1" applyFont="1" applyNumberForma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1" numFmtId="164" xfId="0" applyAlignment="1" applyBorder="1" applyFont="1" applyNumberFormat="1">
      <alignment horizontal="center" shrinkToFit="0" vertical="center" wrapText="1"/>
    </xf>
    <xf borderId="7" fillId="0" fontId="13" numFmtId="0" xfId="0" applyBorder="1" applyFont="1"/>
    <xf borderId="1" fillId="3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9" numFmtId="0" xfId="0" applyAlignment="1" applyBorder="1" applyFont="1">
      <alignment horizontal="center" shrinkToFit="0" vertical="center" wrapText="1"/>
    </xf>
    <xf borderId="13" fillId="7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b/>
        <color rgb="FFFFFFFF"/>
        <name val="Arial"/>
      </font>
      <fill>
        <patternFill patternType="solid">
          <fgColor rgb="FF70AD47"/>
          <bgColor rgb="FF70AD4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60.0"/>
    <col customWidth="1" min="4" max="26" width="8.71"/>
  </cols>
  <sheetData>
    <row r="1" ht="14.25" customHeight="1"/>
    <row r="2" ht="51.75" customHeight="1">
      <c r="B2" s="1" t="s">
        <v>0</v>
      </c>
      <c r="C2" s="2"/>
    </row>
    <row r="3" ht="21.75" customHeight="1">
      <c r="B3" s="3" t="s">
        <v>1</v>
      </c>
      <c r="C3" s="4"/>
    </row>
    <row r="4" ht="14.25" customHeight="1">
      <c r="B4" s="5"/>
      <c r="C4" s="6"/>
    </row>
    <row r="5" ht="19.5" customHeight="1">
      <c r="B5" s="7" t="s">
        <v>2</v>
      </c>
      <c r="C5" s="2"/>
    </row>
    <row r="6" ht="19.5" customHeight="1">
      <c r="B6" s="8" t="s">
        <v>3</v>
      </c>
      <c r="C6" s="8" t="s">
        <v>4</v>
      </c>
    </row>
    <row r="7" ht="19.5" customHeight="1">
      <c r="B7" s="8" t="s">
        <v>5</v>
      </c>
      <c r="C7" s="8" t="s">
        <v>6</v>
      </c>
    </row>
    <row r="8" ht="19.5" customHeight="1">
      <c r="B8" s="8" t="s">
        <v>7</v>
      </c>
      <c r="C8" s="8" t="s">
        <v>8</v>
      </c>
    </row>
    <row r="9" ht="19.5" customHeight="1">
      <c r="B9" s="8" t="s">
        <v>9</v>
      </c>
      <c r="C9" s="8" t="s">
        <v>10</v>
      </c>
    </row>
    <row r="10" ht="19.5" customHeight="1">
      <c r="B10" s="8" t="s">
        <v>11</v>
      </c>
      <c r="C10" s="8" t="s">
        <v>12</v>
      </c>
    </row>
    <row r="11" ht="19.5" customHeight="1">
      <c r="B11" s="7" t="s">
        <v>13</v>
      </c>
      <c r="C11" s="2"/>
    </row>
    <row r="12" ht="19.5" customHeight="1">
      <c r="B12" s="8" t="s">
        <v>14</v>
      </c>
      <c r="C12" s="8" t="s">
        <v>15</v>
      </c>
    </row>
    <row r="13" ht="19.5" customHeight="1">
      <c r="B13" s="8" t="s">
        <v>16</v>
      </c>
      <c r="C13" s="8" t="s">
        <v>17</v>
      </c>
    </row>
    <row r="14" ht="19.5" customHeight="1">
      <c r="B14" s="8" t="s">
        <v>18</v>
      </c>
      <c r="C14" s="8" t="s">
        <v>19</v>
      </c>
    </row>
    <row r="15" ht="19.5" customHeight="1">
      <c r="B15" s="8" t="s">
        <v>20</v>
      </c>
      <c r="C15" s="8" t="s">
        <v>21</v>
      </c>
    </row>
    <row r="16" ht="19.5" customHeight="1">
      <c r="B16" s="7" t="s">
        <v>22</v>
      </c>
      <c r="C16" s="2"/>
    </row>
    <row r="17" ht="19.5" customHeight="1">
      <c r="B17" s="8" t="s">
        <v>23</v>
      </c>
      <c r="C17" s="8" t="s">
        <v>24</v>
      </c>
    </row>
    <row r="18" ht="19.5" customHeight="1">
      <c r="B18" s="8" t="s">
        <v>25</v>
      </c>
      <c r="C18" s="8" t="s">
        <v>24</v>
      </c>
    </row>
    <row r="19" ht="19.5" customHeight="1">
      <c r="B19" s="8" t="s">
        <v>26</v>
      </c>
      <c r="C19" s="8" t="s">
        <v>24</v>
      </c>
    </row>
    <row r="20" ht="19.5" customHeight="1">
      <c r="B20" s="8" t="s">
        <v>27</v>
      </c>
      <c r="C20" s="8" t="s">
        <v>24</v>
      </c>
    </row>
    <row r="21" ht="19.5" customHeight="1">
      <c r="B21" s="8" t="s">
        <v>28</v>
      </c>
      <c r="C21" s="8" t="s">
        <v>24</v>
      </c>
    </row>
    <row r="22" ht="19.5" customHeight="1">
      <c r="B22" s="8" t="s">
        <v>29</v>
      </c>
      <c r="C22" s="8" t="s">
        <v>30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5">
    <mergeCell ref="B2:C2"/>
    <mergeCell ref="B5:C5"/>
    <mergeCell ref="B11:C11"/>
    <mergeCell ref="B16:C16"/>
    <mergeCell ref="B3:C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.57"/>
    <col customWidth="1" min="3" max="3" width="28.0"/>
    <col customWidth="1" min="4" max="5" width="10.0"/>
    <col customWidth="1" min="6" max="6" width="50.0"/>
    <col customWidth="1" min="7" max="26" width="8.71"/>
  </cols>
  <sheetData>
    <row r="1" ht="14.25" customHeight="1"/>
    <row r="2" ht="36.0" customHeight="1">
      <c r="B2" s="9" t="s">
        <v>31</v>
      </c>
      <c r="C2" s="10"/>
      <c r="D2" s="10"/>
      <c r="E2" s="10"/>
      <c r="F2" s="4"/>
    </row>
    <row r="3" ht="14.25" customHeight="1">
      <c r="B3" s="5"/>
      <c r="C3" s="11"/>
      <c r="D3" s="11"/>
      <c r="E3" s="11"/>
      <c r="F3" s="6"/>
    </row>
    <row r="4" ht="30.0" customHeight="1">
      <c r="B4" s="12" t="s">
        <v>32</v>
      </c>
      <c r="C4" s="12" t="s">
        <v>33</v>
      </c>
      <c r="D4" s="12" t="s">
        <v>34</v>
      </c>
      <c r="E4" s="12" t="s">
        <v>35</v>
      </c>
      <c r="F4" s="12" t="s">
        <v>36</v>
      </c>
    </row>
    <row r="5" ht="30.0" customHeight="1">
      <c r="B5" s="13" t="s">
        <v>37</v>
      </c>
      <c r="C5" s="8" t="s">
        <v>38</v>
      </c>
      <c r="D5" s="14">
        <v>0.3</v>
      </c>
      <c r="E5" s="15" t="s">
        <v>39</v>
      </c>
      <c r="F5" s="8" t="s">
        <v>40</v>
      </c>
    </row>
    <row r="6" ht="30.0" customHeight="1">
      <c r="B6" s="13" t="s">
        <v>41</v>
      </c>
      <c r="C6" s="8" t="s">
        <v>42</v>
      </c>
      <c r="D6" s="14">
        <v>0.3</v>
      </c>
      <c r="E6" s="15" t="s">
        <v>39</v>
      </c>
      <c r="F6" s="8" t="s">
        <v>43</v>
      </c>
    </row>
    <row r="7" ht="30.0" customHeight="1">
      <c r="B7" s="13" t="s">
        <v>44</v>
      </c>
      <c r="C7" s="8" t="s">
        <v>45</v>
      </c>
      <c r="D7" s="14">
        <v>0.1</v>
      </c>
      <c r="E7" s="15" t="s">
        <v>39</v>
      </c>
      <c r="F7" s="8" t="s">
        <v>46</v>
      </c>
    </row>
    <row r="8" ht="30.0" customHeight="1">
      <c r="B8" s="13" t="s">
        <v>47</v>
      </c>
      <c r="C8" s="8" t="s">
        <v>48</v>
      </c>
      <c r="D8" s="14">
        <v>0.1</v>
      </c>
      <c r="E8" s="15" t="s">
        <v>39</v>
      </c>
      <c r="F8" s="8" t="s">
        <v>49</v>
      </c>
    </row>
    <row r="9" ht="30.0" customHeight="1">
      <c r="B9" s="13" t="s">
        <v>50</v>
      </c>
      <c r="C9" s="8" t="s">
        <v>51</v>
      </c>
      <c r="D9" s="14">
        <v>0.15</v>
      </c>
      <c r="E9" s="15" t="s">
        <v>39</v>
      </c>
      <c r="F9" s="8" t="s">
        <v>52</v>
      </c>
    </row>
    <row r="10" ht="30.0" customHeight="1">
      <c r="B10" s="13" t="s">
        <v>53</v>
      </c>
      <c r="C10" s="8" t="s">
        <v>54</v>
      </c>
      <c r="D10" s="14">
        <v>0.05</v>
      </c>
      <c r="E10" s="15" t="s">
        <v>55</v>
      </c>
      <c r="F10" s="8" t="s">
        <v>56</v>
      </c>
    </row>
    <row r="11" ht="21.75" customHeight="1">
      <c r="B11" s="16" t="s">
        <v>57</v>
      </c>
      <c r="C11" s="2"/>
      <c r="D11" s="17">
        <f>SUM(D5:D10)</f>
        <v>1</v>
      </c>
      <c r="E11" s="18"/>
      <c r="F11" s="2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1:C11"/>
    <mergeCell ref="B2:F3"/>
    <mergeCell ref="E11:F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.0"/>
    <col customWidth="1" min="3" max="3" width="28.0"/>
    <col customWidth="1" min="4" max="4" width="22.0"/>
    <col customWidth="1" min="5" max="10" width="14.0"/>
    <col customWidth="1" min="11" max="26" width="8.71"/>
  </cols>
  <sheetData>
    <row r="1" ht="14.25" customHeight="1"/>
    <row r="2" ht="36.0" customHeight="1">
      <c r="B2" s="19" t="s">
        <v>58</v>
      </c>
      <c r="C2" s="20"/>
      <c r="D2" s="20"/>
      <c r="E2" s="20"/>
      <c r="F2" s="20"/>
      <c r="G2" s="20"/>
      <c r="H2" s="20"/>
      <c r="I2" s="20"/>
      <c r="J2" s="2"/>
    </row>
    <row r="3" ht="15.0" customHeight="1">
      <c r="B3" s="21" t="s">
        <v>59</v>
      </c>
      <c r="C3" s="10"/>
      <c r="D3" s="10"/>
      <c r="E3" s="10"/>
      <c r="F3" s="10"/>
      <c r="G3" s="10"/>
      <c r="H3" s="10"/>
      <c r="I3" s="10"/>
      <c r="J3" s="4"/>
    </row>
    <row r="4" ht="14.25" customHeight="1">
      <c r="B4" s="5"/>
      <c r="C4" s="11"/>
      <c r="D4" s="11"/>
      <c r="E4" s="11"/>
      <c r="F4" s="11"/>
      <c r="G4" s="11"/>
      <c r="H4" s="11"/>
      <c r="I4" s="11"/>
      <c r="J4" s="6"/>
    </row>
    <row r="5" ht="48.0" customHeight="1">
      <c r="B5" s="12" t="s">
        <v>60</v>
      </c>
      <c r="C5" s="12" t="s">
        <v>61</v>
      </c>
      <c r="D5" s="12" t="s">
        <v>62</v>
      </c>
      <c r="E5" s="12" t="s">
        <v>63</v>
      </c>
      <c r="F5" s="12" t="s">
        <v>64</v>
      </c>
      <c r="G5" s="12" t="s">
        <v>65</v>
      </c>
      <c r="H5" s="12" t="s">
        <v>66</v>
      </c>
      <c r="I5" s="12" t="s">
        <v>67</v>
      </c>
      <c r="J5" s="12" t="s">
        <v>68</v>
      </c>
    </row>
    <row r="6" ht="18.0" customHeight="1">
      <c r="B6" s="13">
        <v>1.0</v>
      </c>
      <c r="C6" s="8" t="s">
        <v>69</v>
      </c>
      <c r="D6" s="13" t="s">
        <v>70</v>
      </c>
      <c r="E6" s="13">
        <v>82.0</v>
      </c>
      <c r="F6" s="13">
        <v>85.0</v>
      </c>
      <c r="G6" s="13">
        <v>80.0</v>
      </c>
      <c r="H6" s="13">
        <v>78.0</v>
      </c>
      <c r="I6" s="13">
        <v>83.0</v>
      </c>
      <c r="J6" s="13">
        <v>60.0</v>
      </c>
    </row>
    <row r="7" ht="18.0" customHeight="1">
      <c r="B7" s="13">
        <v>2.0</v>
      </c>
      <c r="C7" s="8" t="s">
        <v>71</v>
      </c>
      <c r="D7" s="13" t="s">
        <v>70</v>
      </c>
      <c r="E7" s="13">
        <v>75.0</v>
      </c>
      <c r="F7" s="13">
        <v>80.0</v>
      </c>
      <c r="G7" s="13">
        <v>85.0</v>
      </c>
      <c r="H7" s="13">
        <v>72.0</v>
      </c>
      <c r="I7" s="13">
        <v>77.0</v>
      </c>
      <c r="J7" s="13">
        <v>45.0</v>
      </c>
    </row>
    <row r="8" ht="18.0" customHeight="1">
      <c r="B8" s="13">
        <v>3.0</v>
      </c>
      <c r="C8" s="8" t="s">
        <v>72</v>
      </c>
      <c r="D8" s="13" t="s">
        <v>70</v>
      </c>
      <c r="E8" s="13">
        <v>88.0</v>
      </c>
      <c r="F8" s="13">
        <v>90.0</v>
      </c>
      <c r="G8" s="13">
        <v>90.0</v>
      </c>
      <c r="H8" s="13">
        <v>85.0</v>
      </c>
      <c r="I8" s="13">
        <v>88.0</v>
      </c>
      <c r="J8" s="13">
        <v>70.0</v>
      </c>
    </row>
    <row r="9" ht="18.0" customHeight="1">
      <c r="B9" s="13">
        <v>4.0</v>
      </c>
      <c r="C9" s="8" t="s">
        <v>73</v>
      </c>
      <c r="D9" s="13" t="s">
        <v>70</v>
      </c>
      <c r="E9" s="13">
        <v>70.0</v>
      </c>
      <c r="F9" s="13">
        <v>72.0</v>
      </c>
      <c r="G9" s="13">
        <v>75.0</v>
      </c>
      <c r="H9" s="13">
        <v>68.0</v>
      </c>
      <c r="I9" s="13">
        <v>71.0</v>
      </c>
      <c r="J9" s="13">
        <v>35.0</v>
      </c>
    </row>
    <row r="10" ht="18.0" customHeight="1">
      <c r="B10" s="13">
        <v>5.0</v>
      </c>
      <c r="C10" s="8" t="s">
        <v>74</v>
      </c>
      <c r="D10" s="13" t="s">
        <v>70</v>
      </c>
      <c r="E10" s="13">
        <v>78.0</v>
      </c>
      <c r="F10" s="13">
        <v>82.0</v>
      </c>
      <c r="G10" s="13">
        <v>80.0</v>
      </c>
      <c r="H10" s="13">
        <v>76.0</v>
      </c>
      <c r="I10" s="13">
        <v>79.0</v>
      </c>
      <c r="J10" s="13">
        <v>55.0</v>
      </c>
    </row>
    <row r="11" ht="18.0" customHeight="1">
      <c r="B11" s="13">
        <v>6.0</v>
      </c>
      <c r="C11" s="8" t="s">
        <v>75</v>
      </c>
      <c r="D11" s="13" t="s">
        <v>70</v>
      </c>
      <c r="E11" s="13">
        <v>83.0</v>
      </c>
      <c r="F11" s="13">
        <v>79.0</v>
      </c>
      <c r="G11" s="13">
        <v>85.0</v>
      </c>
      <c r="H11" s="13">
        <v>80.0</v>
      </c>
      <c r="I11" s="13">
        <v>81.0</v>
      </c>
      <c r="J11" s="13">
        <v>50.0</v>
      </c>
    </row>
    <row r="12" ht="18.0" customHeight="1">
      <c r="B12" s="13">
        <v>7.0</v>
      </c>
      <c r="C12" s="8" t="s">
        <v>76</v>
      </c>
      <c r="D12" s="13" t="s">
        <v>70</v>
      </c>
      <c r="E12" s="13">
        <v>80.0</v>
      </c>
      <c r="F12" s="13">
        <v>85.0</v>
      </c>
      <c r="G12" s="13">
        <v>88.0</v>
      </c>
      <c r="H12" s="13">
        <v>82.0</v>
      </c>
      <c r="I12" s="13">
        <v>84.0</v>
      </c>
      <c r="J12" s="13">
        <v>65.0</v>
      </c>
    </row>
    <row r="13" ht="18.0" customHeight="1">
      <c r="B13" s="13">
        <v>8.0</v>
      </c>
      <c r="C13" s="8" t="s">
        <v>77</v>
      </c>
      <c r="D13" s="13" t="s">
        <v>78</v>
      </c>
      <c r="E13" s="13">
        <v>77.0</v>
      </c>
      <c r="F13" s="13">
        <v>80.0</v>
      </c>
      <c r="G13" s="13">
        <v>78.0</v>
      </c>
      <c r="H13" s="13">
        <v>74.0</v>
      </c>
      <c r="I13" s="13">
        <v>76.0</v>
      </c>
      <c r="J13" s="13">
        <v>40.0</v>
      </c>
    </row>
    <row r="14" ht="18.0" customHeight="1">
      <c r="B14" s="13">
        <v>9.0</v>
      </c>
      <c r="C14" s="8" t="s">
        <v>75</v>
      </c>
      <c r="D14" s="13" t="s">
        <v>78</v>
      </c>
      <c r="E14" s="13">
        <v>83.0</v>
      </c>
      <c r="F14" s="13">
        <v>81.0</v>
      </c>
      <c r="G14" s="13">
        <v>85.0</v>
      </c>
      <c r="H14" s="13">
        <v>80.0</v>
      </c>
      <c r="I14" s="13">
        <v>80.0</v>
      </c>
      <c r="J14" s="13">
        <v>50.0</v>
      </c>
    </row>
    <row r="15" ht="18.0" customHeight="1">
      <c r="B15" s="13">
        <v>10.0</v>
      </c>
      <c r="C15" s="8" t="s">
        <v>79</v>
      </c>
      <c r="D15" s="13" t="s">
        <v>78</v>
      </c>
      <c r="E15" s="13">
        <v>72.0</v>
      </c>
      <c r="F15" s="13">
        <v>75.0</v>
      </c>
      <c r="G15" s="13">
        <v>70.0</v>
      </c>
      <c r="H15" s="13">
        <v>70.0</v>
      </c>
      <c r="I15" s="13">
        <v>73.0</v>
      </c>
      <c r="J15" s="13">
        <v>55.0</v>
      </c>
    </row>
    <row r="16" ht="18.0" customHeight="1">
      <c r="B16" s="13">
        <v>11.0</v>
      </c>
      <c r="C16" s="8" t="s">
        <v>80</v>
      </c>
      <c r="D16" s="13" t="s">
        <v>78</v>
      </c>
      <c r="E16" s="13">
        <v>79.0</v>
      </c>
      <c r="F16" s="13">
        <v>83.0</v>
      </c>
      <c r="G16" s="13">
        <v>82.0</v>
      </c>
      <c r="H16" s="13">
        <v>77.0</v>
      </c>
      <c r="I16" s="13">
        <v>80.0</v>
      </c>
      <c r="J16" s="13">
        <v>45.0</v>
      </c>
    </row>
    <row r="17" ht="18.0" customHeight="1">
      <c r="B17" s="13">
        <v>12.0</v>
      </c>
      <c r="C17" s="8" t="s">
        <v>81</v>
      </c>
      <c r="D17" s="13" t="s">
        <v>78</v>
      </c>
      <c r="E17" s="13">
        <v>85.0</v>
      </c>
      <c r="F17" s="13">
        <v>87.0</v>
      </c>
      <c r="G17" s="13">
        <v>88.0</v>
      </c>
      <c r="H17" s="13">
        <v>83.0</v>
      </c>
      <c r="I17" s="13">
        <v>86.0</v>
      </c>
      <c r="J17" s="13">
        <v>60.0</v>
      </c>
    </row>
    <row r="18" ht="18.0" customHeight="1">
      <c r="B18" s="13">
        <v>13.0</v>
      </c>
      <c r="C18" s="8" t="s">
        <v>82</v>
      </c>
      <c r="D18" s="13" t="s">
        <v>78</v>
      </c>
      <c r="E18" s="13">
        <v>74.0</v>
      </c>
      <c r="F18" s="13">
        <v>76.0</v>
      </c>
      <c r="G18" s="13">
        <v>77.0</v>
      </c>
      <c r="H18" s="13">
        <v>72.0</v>
      </c>
      <c r="I18" s="13">
        <v>75.0</v>
      </c>
      <c r="J18" s="13">
        <v>38.0</v>
      </c>
    </row>
    <row r="19" ht="18.0" customHeight="1">
      <c r="B19" s="13">
        <v>14.0</v>
      </c>
      <c r="C19" s="8" t="s">
        <v>77</v>
      </c>
      <c r="D19" s="13" t="s">
        <v>83</v>
      </c>
      <c r="E19" s="13">
        <v>77.0</v>
      </c>
      <c r="F19" s="13">
        <v>80.0</v>
      </c>
      <c r="G19" s="13">
        <v>78.0</v>
      </c>
      <c r="H19" s="13">
        <v>74.0</v>
      </c>
      <c r="I19" s="13">
        <v>76.0</v>
      </c>
      <c r="J19" s="13">
        <v>40.0</v>
      </c>
    </row>
    <row r="20" ht="18.0" customHeight="1">
      <c r="B20" s="13">
        <v>15.0</v>
      </c>
      <c r="C20" s="8" t="s">
        <v>84</v>
      </c>
      <c r="D20" s="13" t="s">
        <v>83</v>
      </c>
      <c r="E20" s="13">
        <v>80.0</v>
      </c>
      <c r="F20" s="13">
        <v>83.0</v>
      </c>
      <c r="G20" s="13">
        <v>82.0</v>
      </c>
      <c r="H20" s="13">
        <v>79.0</v>
      </c>
      <c r="I20" s="13">
        <v>81.0</v>
      </c>
      <c r="J20" s="13">
        <v>58.0</v>
      </c>
    </row>
    <row r="21" ht="18.0" customHeight="1">
      <c r="B21" s="13">
        <v>16.0</v>
      </c>
      <c r="C21" s="8" t="s">
        <v>85</v>
      </c>
      <c r="D21" s="13" t="s">
        <v>83</v>
      </c>
      <c r="E21" s="13">
        <v>76.0</v>
      </c>
      <c r="F21" s="13">
        <v>78.0</v>
      </c>
      <c r="G21" s="13">
        <v>80.0</v>
      </c>
      <c r="H21" s="13">
        <v>73.0</v>
      </c>
      <c r="I21" s="13">
        <v>77.0</v>
      </c>
      <c r="J21" s="13">
        <v>42.0</v>
      </c>
    </row>
    <row r="22" ht="18.0" customHeight="1">
      <c r="B22" s="13">
        <v>17.0</v>
      </c>
      <c r="C22" s="8" t="s">
        <v>86</v>
      </c>
      <c r="D22" s="13" t="s">
        <v>83</v>
      </c>
      <c r="E22" s="13">
        <v>84.0</v>
      </c>
      <c r="F22" s="13">
        <v>86.0</v>
      </c>
      <c r="G22" s="13">
        <v>85.0</v>
      </c>
      <c r="H22" s="13">
        <v>82.0</v>
      </c>
      <c r="I22" s="13">
        <v>83.0</v>
      </c>
      <c r="J22" s="13">
        <v>55.0</v>
      </c>
    </row>
    <row r="23" ht="18.0" customHeight="1">
      <c r="B23" s="13">
        <v>18.0</v>
      </c>
      <c r="C23" s="8" t="s">
        <v>87</v>
      </c>
      <c r="D23" s="13" t="s">
        <v>83</v>
      </c>
      <c r="E23" s="13">
        <v>79.0</v>
      </c>
      <c r="F23" s="13">
        <v>82.0</v>
      </c>
      <c r="G23" s="13">
        <v>80.0</v>
      </c>
      <c r="H23" s="13">
        <v>77.0</v>
      </c>
      <c r="I23" s="13">
        <v>80.0</v>
      </c>
      <c r="J23" s="13">
        <v>48.0</v>
      </c>
    </row>
    <row r="24" ht="18.0" customHeight="1">
      <c r="B24" s="13">
        <v>19.0</v>
      </c>
      <c r="C24" s="8" t="s">
        <v>88</v>
      </c>
      <c r="D24" s="13" t="s">
        <v>83</v>
      </c>
      <c r="E24" s="13">
        <v>73.0</v>
      </c>
      <c r="F24" s="13">
        <v>75.0</v>
      </c>
      <c r="G24" s="13">
        <v>72.0</v>
      </c>
      <c r="H24" s="13">
        <v>71.0</v>
      </c>
      <c r="I24" s="13">
        <v>74.0</v>
      </c>
      <c r="J24" s="13">
        <v>36.0</v>
      </c>
    </row>
    <row r="25" ht="18.0" customHeight="1">
      <c r="B25" s="13">
        <v>20.0</v>
      </c>
      <c r="C25" s="8" t="s">
        <v>89</v>
      </c>
      <c r="D25" s="13" t="s">
        <v>83</v>
      </c>
      <c r="E25" s="13">
        <v>81.0</v>
      </c>
      <c r="F25" s="13">
        <v>84.0</v>
      </c>
      <c r="G25" s="13">
        <v>83.0</v>
      </c>
      <c r="H25" s="13">
        <v>79.0</v>
      </c>
      <c r="I25" s="13">
        <v>82.0</v>
      </c>
      <c r="J25" s="13">
        <v>52.0</v>
      </c>
    </row>
    <row r="26" ht="18.0" customHeight="1">
      <c r="B26" s="13">
        <v>21.0</v>
      </c>
      <c r="C26" s="8" t="s">
        <v>69</v>
      </c>
      <c r="D26" s="13" t="s">
        <v>90</v>
      </c>
      <c r="E26" s="13">
        <v>82.0</v>
      </c>
      <c r="F26" s="13">
        <v>85.0</v>
      </c>
      <c r="G26" s="13">
        <v>80.0</v>
      </c>
      <c r="H26" s="13">
        <v>78.0</v>
      </c>
      <c r="I26" s="13">
        <v>83.0</v>
      </c>
      <c r="J26" s="13">
        <v>60.0</v>
      </c>
    </row>
    <row r="27" ht="18.0" customHeight="1">
      <c r="B27" s="13">
        <v>22.0</v>
      </c>
      <c r="C27" s="8" t="s">
        <v>91</v>
      </c>
      <c r="D27" s="13" t="s">
        <v>90</v>
      </c>
      <c r="E27" s="13">
        <v>78.0</v>
      </c>
      <c r="F27" s="13">
        <v>80.0</v>
      </c>
      <c r="G27" s="13">
        <v>82.0</v>
      </c>
      <c r="H27" s="13">
        <v>76.0</v>
      </c>
      <c r="I27" s="13">
        <v>79.0</v>
      </c>
      <c r="J27" s="13">
        <v>44.0</v>
      </c>
    </row>
    <row r="28" ht="18.0" customHeight="1">
      <c r="B28" s="13">
        <v>23.0</v>
      </c>
      <c r="C28" s="8" t="s">
        <v>92</v>
      </c>
      <c r="D28" s="13" t="s">
        <v>90</v>
      </c>
      <c r="E28" s="13">
        <v>85.0</v>
      </c>
      <c r="F28" s="13">
        <v>88.0</v>
      </c>
      <c r="G28" s="13">
        <v>86.0</v>
      </c>
      <c r="H28" s="13">
        <v>83.0</v>
      </c>
      <c r="I28" s="13">
        <v>86.0</v>
      </c>
      <c r="J28" s="13">
        <v>62.0</v>
      </c>
    </row>
    <row r="29" ht="18.0" customHeight="1">
      <c r="B29" s="13">
        <v>24.0</v>
      </c>
      <c r="C29" s="8" t="s">
        <v>93</v>
      </c>
      <c r="D29" s="13" t="s">
        <v>90</v>
      </c>
      <c r="E29" s="13">
        <v>80.0</v>
      </c>
      <c r="F29" s="13">
        <v>82.0</v>
      </c>
      <c r="G29" s="13">
        <v>84.0</v>
      </c>
      <c r="H29" s="13">
        <v>78.0</v>
      </c>
      <c r="I29" s="13">
        <v>81.0</v>
      </c>
      <c r="J29" s="13">
        <v>50.0</v>
      </c>
    </row>
    <row r="30" ht="18.0" customHeight="1">
      <c r="B30" s="13">
        <v>25.0</v>
      </c>
      <c r="C30" s="8" t="s">
        <v>94</v>
      </c>
      <c r="D30" s="13" t="s">
        <v>90</v>
      </c>
      <c r="E30" s="13">
        <v>77.0</v>
      </c>
      <c r="F30" s="13">
        <v>79.0</v>
      </c>
      <c r="G30" s="13">
        <v>78.0</v>
      </c>
      <c r="H30" s="13">
        <v>75.0</v>
      </c>
      <c r="I30" s="13">
        <v>78.0</v>
      </c>
      <c r="J30" s="13">
        <v>42.0</v>
      </c>
    </row>
    <row r="31" ht="18.0" customHeight="1">
      <c r="B31" s="13">
        <v>26.0</v>
      </c>
      <c r="C31" s="8" t="s">
        <v>95</v>
      </c>
      <c r="D31" s="13" t="s">
        <v>90</v>
      </c>
      <c r="E31" s="13">
        <v>76.0</v>
      </c>
      <c r="F31" s="13">
        <v>78.0</v>
      </c>
      <c r="G31" s="13">
        <v>80.0</v>
      </c>
      <c r="H31" s="13">
        <v>74.0</v>
      </c>
      <c r="I31" s="13">
        <v>77.0</v>
      </c>
      <c r="J31" s="13">
        <v>40.0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J2"/>
    <mergeCell ref="B3:J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.0"/>
    <col customWidth="1" min="3" max="3" width="20.43"/>
    <col customWidth="1" min="4" max="9" width="12.0"/>
    <col customWidth="1" min="10" max="10" width="3.0"/>
    <col customWidth="1" min="11" max="11" width="12.0"/>
    <col customWidth="1" min="12" max="12" width="21.0"/>
    <col customWidth="1" min="13" max="16" width="12.0"/>
    <col customWidth="1" min="17" max="17" width="9.29"/>
    <col customWidth="1" min="18" max="20" width="12.0"/>
    <col customWidth="1" min="21" max="21" width="26.14"/>
    <col customWidth="1" min="22" max="23" width="12.0"/>
    <col customWidth="1" min="24" max="24" width="14.71"/>
    <col customWidth="1" min="25" max="25" width="12.0"/>
    <col customWidth="1" min="26" max="26" width="16.43"/>
    <col customWidth="1" min="27" max="27" width="3.0"/>
    <col customWidth="1" min="28" max="28" width="6.0"/>
    <col customWidth="1" min="29" max="29" width="12.0"/>
    <col customWidth="1" min="30" max="30" width="14.0"/>
    <col customWidth="1" min="31" max="31" width="12.0"/>
  </cols>
  <sheetData>
    <row r="1" ht="14.25" customHeight="1"/>
    <row r="2" ht="37.5" customHeight="1">
      <c r="B2" s="22" t="s">
        <v>96</v>
      </c>
    </row>
    <row r="3" ht="15.0" customHeight="1">
      <c r="B3" s="23" t="s">
        <v>97</v>
      </c>
    </row>
    <row r="4" ht="14.25" customHeight="1"/>
    <row r="5" ht="24.0" customHeight="1">
      <c r="B5" s="7" t="s">
        <v>98</v>
      </c>
      <c r="C5" s="20"/>
      <c r="D5" s="20"/>
      <c r="E5" s="20"/>
      <c r="F5" s="20"/>
      <c r="G5" s="20"/>
      <c r="H5" s="20"/>
      <c r="I5" s="2"/>
    </row>
    <row r="6" ht="42.0" customHeight="1">
      <c r="B6" s="12" t="s">
        <v>60</v>
      </c>
      <c r="C6" s="12" t="s">
        <v>99</v>
      </c>
      <c r="D6" s="12" t="s">
        <v>63</v>
      </c>
      <c r="E6" s="12" t="s">
        <v>100</v>
      </c>
      <c r="F6" s="12" t="s">
        <v>65</v>
      </c>
      <c r="G6" s="12" t="s">
        <v>66</v>
      </c>
      <c r="H6" s="12" t="s">
        <v>67</v>
      </c>
      <c r="I6" s="12" t="s">
        <v>101</v>
      </c>
    </row>
    <row r="7" ht="18.0" customHeight="1">
      <c r="B7" s="13">
        <v>1.0</v>
      </c>
      <c r="C7" s="8" t="s">
        <v>69</v>
      </c>
      <c r="D7" s="13">
        <v>82.0</v>
      </c>
      <c r="E7" s="13">
        <v>85.0</v>
      </c>
      <c r="F7" s="13">
        <v>80.0</v>
      </c>
      <c r="G7" s="13">
        <v>78.0</v>
      </c>
      <c r="H7" s="13">
        <v>83.0</v>
      </c>
      <c r="I7" s="13">
        <v>60.0</v>
      </c>
    </row>
    <row r="8" ht="18.0" customHeight="1">
      <c r="B8" s="13">
        <v>2.0</v>
      </c>
      <c r="C8" s="8" t="s">
        <v>71</v>
      </c>
      <c r="D8" s="13">
        <v>75.0</v>
      </c>
      <c r="E8" s="13">
        <v>80.0</v>
      </c>
      <c r="F8" s="13">
        <v>85.0</v>
      </c>
      <c r="G8" s="13">
        <v>72.0</v>
      </c>
      <c r="H8" s="13">
        <v>77.0</v>
      </c>
      <c r="I8" s="13">
        <v>45.0</v>
      </c>
    </row>
    <row r="9" ht="18.0" customHeight="1">
      <c r="B9" s="13">
        <v>3.0</v>
      </c>
      <c r="C9" s="8" t="s">
        <v>72</v>
      </c>
      <c r="D9" s="13">
        <v>88.0</v>
      </c>
      <c r="E9" s="13">
        <v>90.0</v>
      </c>
      <c r="F9" s="13">
        <v>90.0</v>
      </c>
      <c r="G9" s="13">
        <v>85.0</v>
      </c>
      <c r="H9" s="13">
        <v>88.0</v>
      </c>
      <c r="I9" s="13">
        <v>70.0</v>
      </c>
    </row>
    <row r="10" ht="18.0" customHeight="1">
      <c r="B10" s="13">
        <v>4.0</v>
      </c>
      <c r="C10" s="8" t="s">
        <v>73</v>
      </c>
      <c r="D10" s="13">
        <v>70.0</v>
      </c>
      <c r="E10" s="13">
        <v>72.0</v>
      </c>
      <c r="F10" s="13">
        <v>75.0</v>
      </c>
      <c r="G10" s="13">
        <v>68.0</v>
      </c>
      <c r="H10" s="13">
        <v>71.0</v>
      </c>
      <c r="I10" s="13">
        <v>35.0</v>
      </c>
    </row>
    <row r="11" ht="18.0" customHeight="1">
      <c r="B11" s="13">
        <v>5.0</v>
      </c>
      <c r="C11" s="8" t="s">
        <v>74</v>
      </c>
      <c r="D11" s="13">
        <v>78.0</v>
      </c>
      <c r="E11" s="13">
        <v>82.0</v>
      </c>
      <c r="F11" s="13">
        <v>80.0</v>
      </c>
      <c r="G11" s="13">
        <v>76.0</v>
      </c>
      <c r="H11" s="13">
        <v>79.0</v>
      </c>
      <c r="I11" s="13">
        <v>55.0</v>
      </c>
    </row>
    <row r="12" ht="18.0" customHeight="1">
      <c r="B12" s="13">
        <v>6.0</v>
      </c>
      <c r="C12" s="8" t="s">
        <v>75</v>
      </c>
      <c r="D12" s="13">
        <v>83.0</v>
      </c>
      <c r="E12" s="13">
        <v>79.0</v>
      </c>
      <c r="F12" s="13">
        <v>85.0</v>
      </c>
      <c r="G12" s="13">
        <v>80.0</v>
      </c>
      <c r="H12" s="13">
        <v>81.0</v>
      </c>
      <c r="I12" s="13">
        <v>50.0</v>
      </c>
    </row>
    <row r="13" ht="18.0" customHeight="1">
      <c r="B13" s="13">
        <v>7.0</v>
      </c>
      <c r="C13" s="8" t="s">
        <v>76</v>
      </c>
      <c r="D13" s="13">
        <v>80.0</v>
      </c>
      <c r="E13" s="13">
        <v>85.0</v>
      </c>
      <c r="F13" s="13">
        <v>88.0</v>
      </c>
      <c r="G13" s="13">
        <v>82.0</v>
      </c>
      <c r="H13" s="13">
        <v>84.0</v>
      </c>
      <c r="I13" s="13">
        <v>65.0</v>
      </c>
    </row>
    <row r="14" ht="15.0" customHeight="1">
      <c r="B14" s="16" t="s">
        <v>102</v>
      </c>
      <c r="C14" s="2"/>
      <c r="D14" s="24">
        <f t="shared" ref="D14:I14" si="1">SQRT(SUMPRODUCT(D7:D13,D7:D13))</f>
        <v>210.6323812</v>
      </c>
      <c r="E14" s="24">
        <f t="shared" si="1"/>
        <v>217.0230403</v>
      </c>
      <c r="F14" s="24">
        <f t="shared" si="1"/>
        <v>220.7238093</v>
      </c>
      <c r="G14" s="24">
        <f t="shared" si="1"/>
        <v>204.9804869</v>
      </c>
      <c r="H14" s="24">
        <f t="shared" si="1"/>
        <v>213.2158531</v>
      </c>
      <c r="I14" s="24">
        <f t="shared" si="1"/>
        <v>146.628783</v>
      </c>
    </row>
    <row r="15" ht="19.5" customHeight="1">
      <c r="B15" s="16" t="s">
        <v>103</v>
      </c>
      <c r="C15" s="2"/>
      <c r="D15" s="17">
        <v>0.3</v>
      </c>
      <c r="E15" s="17">
        <v>0.3</v>
      </c>
      <c r="F15" s="17">
        <v>0.1</v>
      </c>
      <c r="G15" s="17">
        <v>0.1</v>
      </c>
      <c r="H15" s="17">
        <v>0.15</v>
      </c>
      <c r="I15" s="17">
        <v>0.05</v>
      </c>
    </row>
    <row r="16" ht="19.5" customHeight="1">
      <c r="B16" s="16" t="s">
        <v>35</v>
      </c>
      <c r="C16" s="2"/>
      <c r="D16" s="15" t="s">
        <v>39</v>
      </c>
      <c r="E16" s="15" t="s">
        <v>39</v>
      </c>
      <c r="F16" s="15" t="s">
        <v>39</v>
      </c>
      <c r="G16" s="15" t="s">
        <v>39</v>
      </c>
      <c r="H16" s="15" t="s">
        <v>39</v>
      </c>
      <c r="I16" s="15" t="s">
        <v>55</v>
      </c>
    </row>
    <row r="17" ht="14.25" customHeight="1"/>
    <row r="18" ht="24.0" customHeight="1">
      <c r="K18" s="7" t="s">
        <v>104</v>
      </c>
      <c r="L18" s="20"/>
      <c r="M18" s="20"/>
      <c r="N18" s="20"/>
      <c r="O18" s="20"/>
      <c r="P18" s="20"/>
      <c r="Q18" s="20"/>
      <c r="R18" s="2"/>
    </row>
    <row r="19" ht="21.75" customHeight="1">
      <c r="K19" s="12" t="s">
        <v>60</v>
      </c>
      <c r="L19" s="12" t="s">
        <v>99</v>
      </c>
      <c r="M19" s="12" t="s">
        <v>105</v>
      </c>
      <c r="N19" s="12" t="s">
        <v>106</v>
      </c>
      <c r="O19" s="12" t="s">
        <v>107</v>
      </c>
      <c r="P19" s="12" t="s">
        <v>108</v>
      </c>
      <c r="Q19" s="12" t="s">
        <v>109</v>
      </c>
      <c r="R19" s="12" t="s">
        <v>110</v>
      </c>
    </row>
    <row r="20" ht="18.0" customHeight="1">
      <c r="K20" s="13">
        <f t="shared" ref="K20:L20" si="2">B7</f>
        <v>1</v>
      </c>
      <c r="L20" s="8" t="str">
        <f t="shared" si="2"/>
        <v>Haniel Wijanarko</v>
      </c>
      <c r="M20" s="25">
        <f t="shared" ref="M20:R20" si="3">D7/D14</f>
        <v>0.3893038646</v>
      </c>
      <c r="N20" s="25">
        <f t="shared" si="3"/>
        <v>0.3916634838</v>
      </c>
      <c r="O20" s="25">
        <f t="shared" si="3"/>
        <v>0.3624439078</v>
      </c>
      <c r="P20" s="25">
        <f t="shared" si="3"/>
        <v>0.3805240254</v>
      </c>
      <c r="Q20" s="25">
        <f t="shared" si="3"/>
        <v>0.3892768704</v>
      </c>
      <c r="R20" s="25">
        <f t="shared" si="3"/>
        <v>0.4091966037</v>
      </c>
    </row>
    <row r="21" ht="18.0" customHeight="1">
      <c r="K21" s="13">
        <f t="shared" ref="K21:L21" si="4">B8</f>
        <v>2</v>
      </c>
      <c r="L21" s="8" t="str">
        <f t="shared" si="4"/>
        <v>Farhan</v>
      </c>
      <c r="M21" s="25">
        <f t="shared" ref="M21:R21" si="5">D8/D14</f>
        <v>0.3560706079</v>
      </c>
      <c r="N21" s="25">
        <f t="shared" si="5"/>
        <v>0.3686244553</v>
      </c>
      <c r="O21" s="25">
        <f t="shared" si="5"/>
        <v>0.3850966521</v>
      </c>
      <c r="P21" s="25">
        <f t="shared" si="5"/>
        <v>0.3512529465</v>
      </c>
      <c r="Q21" s="25">
        <f t="shared" si="5"/>
        <v>0.3611363737</v>
      </c>
      <c r="R21" s="25">
        <f t="shared" si="5"/>
        <v>0.3068974528</v>
      </c>
    </row>
    <row r="22" ht="18.0" customHeight="1">
      <c r="K22" s="13">
        <f t="shared" ref="K22:L22" si="6">B9</f>
        <v>3</v>
      </c>
      <c r="L22" s="8" t="str">
        <f t="shared" si="6"/>
        <v>Faqih Ardiansyah</v>
      </c>
      <c r="M22" s="25">
        <f t="shared" ref="M22:R22" si="7">D9/D14</f>
        <v>0.4177895132</v>
      </c>
      <c r="N22" s="25">
        <f t="shared" si="7"/>
        <v>0.4147025122</v>
      </c>
      <c r="O22" s="25">
        <f t="shared" si="7"/>
        <v>0.4077493963</v>
      </c>
      <c r="P22" s="25">
        <f t="shared" si="7"/>
        <v>0.4146736175</v>
      </c>
      <c r="Q22" s="25">
        <f t="shared" si="7"/>
        <v>0.4127272843</v>
      </c>
      <c r="R22" s="25">
        <f t="shared" si="7"/>
        <v>0.4773960376</v>
      </c>
    </row>
    <row r="23" ht="18.0" customHeight="1">
      <c r="K23" s="13">
        <f t="shared" ref="K23:L23" si="8">B10</f>
        <v>4</v>
      </c>
      <c r="L23" s="8" t="str">
        <f t="shared" si="8"/>
        <v>Pancar</v>
      </c>
      <c r="M23" s="25">
        <f t="shared" ref="M23:R23" si="9">D10/D14</f>
        <v>0.3323325673</v>
      </c>
      <c r="N23" s="25">
        <f t="shared" si="9"/>
        <v>0.3317620098</v>
      </c>
      <c r="O23" s="25">
        <f t="shared" si="9"/>
        <v>0.3397911636</v>
      </c>
      <c r="P23" s="25">
        <f t="shared" si="9"/>
        <v>0.331738894</v>
      </c>
      <c r="Q23" s="25">
        <f t="shared" si="9"/>
        <v>0.3329958771</v>
      </c>
      <c r="R23" s="25">
        <f t="shared" si="9"/>
        <v>0.2386980188</v>
      </c>
    </row>
    <row r="24" ht="18.0" customHeight="1">
      <c r="K24" s="13">
        <f t="shared" ref="K24:L24" si="10">B11</f>
        <v>5</v>
      </c>
      <c r="L24" s="8" t="str">
        <f t="shared" si="10"/>
        <v>Satria</v>
      </c>
      <c r="M24" s="25">
        <f t="shared" ref="M24:R24" si="11">D11/D14</f>
        <v>0.3703134322</v>
      </c>
      <c r="N24" s="25">
        <f t="shared" si="11"/>
        <v>0.3778400667</v>
      </c>
      <c r="O24" s="25">
        <f t="shared" si="11"/>
        <v>0.3624439078</v>
      </c>
      <c r="P24" s="25">
        <f t="shared" si="11"/>
        <v>0.3707669991</v>
      </c>
      <c r="Q24" s="25">
        <f t="shared" si="11"/>
        <v>0.3705165393</v>
      </c>
      <c r="R24" s="25">
        <f t="shared" si="11"/>
        <v>0.3750968867</v>
      </c>
    </row>
    <row r="25" ht="18.0" customHeight="1">
      <c r="K25" s="13">
        <f t="shared" ref="K25:L25" si="12">B12</f>
        <v>6</v>
      </c>
      <c r="L25" s="8" t="str">
        <f t="shared" si="12"/>
        <v>Aufa Salsabila</v>
      </c>
      <c r="M25" s="25">
        <f t="shared" ref="M25:R25" si="13">D12/D14</f>
        <v>0.3940514727</v>
      </c>
      <c r="N25" s="25">
        <f t="shared" si="13"/>
        <v>0.3640166496</v>
      </c>
      <c r="O25" s="25">
        <f t="shared" si="13"/>
        <v>0.3850966521</v>
      </c>
      <c r="P25" s="25">
        <f t="shared" si="13"/>
        <v>0.3902810517</v>
      </c>
      <c r="Q25" s="25">
        <f t="shared" si="13"/>
        <v>0.3798967048</v>
      </c>
      <c r="R25" s="25">
        <f t="shared" si="13"/>
        <v>0.3409971697</v>
      </c>
    </row>
    <row r="26" ht="18.0" customHeight="1">
      <c r="K26" s="13">
        <f t="shared" ref="K26:L26" si="14">B13</f>
        <v>7</v>
      </c>
      <c r="L26" s="8" t="str">
        <f t="shared" si="14"/>
        <v>Raihan Dwi Ananda H.</v>
      </c>
      <c r="M26" s="25">
        <f t="shared" ref="M26:R26" si="15">D13/D14</f>
        <v>0.3798086484</v>
      </c>
      <c r="N26" s="25">
        <f t="shared" si="15"/>
        <v>0.3916634838</v>
      </c>
      <c r="O26" s="25">
        <f t="shared" si="15"/>
        <v>0.3986882986</v>
      </c>
      <c r="P26" s="25">
        <f t="shared" si="15"/>
        <v>0.400038078</v>
      </c>
      <c r="Q26" s="25">
        <f t="shared" si="15"/>
        <v>0.3939669532</v>
      </c>
      <c r="R26" s="25">
        <f t="shared" si="15"/>
        <v>0.4432963207</v>
      </c>
    </row>
    <row r="27" ht="14.25" customHeight="1">
      <c r="K27" s="26"/>
      <c r="L27" s="26"/>
      <c r="M27" s="26"/>
      <c r="N27" s="26"/>
      <c r="O27" s="26"/>
      <c r="P27" s="26"/>
      <c r="Q27" s="26"/>
      <c r="R27" s="26"/>
    </row>
    <row r="28" ht="24.0" customHeight="1">
      <c r="K28" s="7" t="s">
        <v>111</v>
      </c>
      <c r="L28" s="20"/>
      <c r="M28" s="20"/>
      <c r="N28" s="20"/>
      <c r="O28" s="20"/>
      <c r="P28" s="20"/>
      <c r="Q28" s="20"/>
      <c r="R28" s="2"/>
    </row>
    <row r="29" ht="21.75" customHeight="1">
      <c r="K29" s="12" t="s">
        <v>60</v>
      </c>
      <c r="L29" s="12" t="s">
        <v>99</v>
      </c>
      <c r="M29" s="12" t="s">
        <v>112</v>
      </c>
      <c r="N29" s="12" t="s">
        <v>113</v>
      </c>
      <c r="O29" s="12" t="s">
        <v>114</v>
      </c>
      <c r="P29" s="12" t="s">
        <v>115</v>
      </c>
      <c r="Q29" s="12" t="s">
        <v>116</v>
      </c>
      <c r="R29" s="12" t="s">
        <v>117</v>
      </c>
    </row>
    <row r="30" ht="18.0" customHeight="1">
      <c r="K30" s="13">
        <f t="shared" ref="K30:L30" si="16">K20</f>
        <v>1</v>
      </c>
      <c r="L30" s="8" t="str">
        <f t="shared" si="16"/>
        <v>Haniel Wijanarko</v>
      </c>
      <c r="M30" s="25">
        <f t="shared" ref="M30:R30" si="17">M20*D15</f>
        <v>0.1167911594</v>
      </c>
      <c r="N30" s="25">
        <f t="shared" si="17"/>
        <v>0.1174990451</v>
      </c>
      <c r="O30" s="25">
        <f t="shared" si="17"/>
        <v>0.03624439078</v>
      </c>
      <c r="P30" s="25">
        <f t="shared" si="17"/>
        <v>0.03805240254</v>
      </c>
      <c r="Q30" s="25">
        <f t="shared" si="17"/>
        <v>0.05839153056</v>
      </c>
      <c r="R30" s="25">
        <f t="shared" si="17"/>
        <v>0.02045983018</v>
      </c>
    </row>
    <row r="31" ht="18.0" customHeight="1">
      <c r="K31" s="13">
        <f t="shared" ref="K31:L31" si="18">K21</f>
        <v>2</v>
      </c>
      <c r="L31" s="8" t="str">
        <f t="shared" si="18"/>
        <v>Farhan</v>
      </c>
      <c r="M31" s="25">
        <f t="shared" ref="M31:R31" si="19">M21*D15</f>
        <v>0.1068211824</v>
      </c>
      <c r="N31" s="25">
        <f t="shared" si="19"/>
        <v>0.1105873366</v>
      </c>
      <c r="O31" s="25">
        <f t="shared" si="19"/>
        <v>0.03850966521</v>
      </c>
      <c r="P31" s="25">
        <f t="shared" si="19"/>
        <v>0.03512529465</v>
      </c>
      <c r="Q31" s="25">
        <f t="shared" si="19"/>
        <v>0.05417045606</v>
      </c>
      <c r="R31" s="25">
        <f t="shared" si="19"/>
        <v>0.01534487264</v>
      </c>
    </row>
    <row r="32" ht="18.0" customHeight="1">
      <c r="K32" s="13">
        <f t="shared" ref="K32:L32" si="20">K22</f>
        <v>3</v>
      </c>
      <c r="L32" s="8" t="str">
        <f t="shared" si="20"/>
        <v>Faqih Ardiansyah</v>
      </c>
      <c r="M32" s="25">
        <f t="shared" ref="M32:R32" si="21">M22*D15</f>
        <v>0.125336854</v>
      </c>
      <c r="N32" s="25">
        <f t="shared" si="21"/>
        <v>0.1244107537</v>
      </c>
      <c r="O32" s="25">
        <f t="shared" si="21"/>
        <v>0.04077493963</v>
      </c>
      <c r="P32" s="25">
        <f t="shared" si="21"/>
        <v>0.04146736175</v>
      </c>
      <c r="Q32" s="25">
        <f t="shared" si="21"/>
        <v>0.06190909264</v>
      </c>
      <c r="R32" s="25">
        <f t="shared" si="21"/>
        <v>0.02386980188</v>
      </c>
    </row>
    <row r="33" ht="18.0" customHeight="1">
      <c r="K33" s="13">
        <f t="shared" ref="K33:L33" si="22">K23</f>
        <v>4</v>
      </c>
      <c r="L33" s="8" t="str">
        <f t="shared" si="22"/>
        <v>Pancar</v>
      </c>
      <c r="M33" s="25">
        <f t="shared" ref="M33:R33" si="23">M23*D15</f>
        <v>0.0996997702</v>
      </c>
      <c r="N33" s="25">
        <f t="shared" si="23"/>
        <v>0.09952860293</v>
      </c>
      <c r="O33" s="25">
        <f t="shared" si="23"/>
        <v>0.03397911636</v>
      </c>
      <c r="P33" s="25">
        <f t="shared" si="23"/>
        <v>0.0331738894</v>
      </c>
      <c r="Q33" s="25">
        <f t="shared" si="23"/>
        <v>0.04994938156</v>
      </c>
      <c r="R33" s="25">
        <f t="shared" si="23"/>
        <v>0.01193490094</v>
      </c>
    </row>
    <row r="34" ht="18.0" customHeight="1">
      <c r="K34" s="13">
        <f t="shared" ref="K34:L34" si="24">K24</f>
        <v>5</v>
      </c>
      <c r="L34" s="8" t="str">
        <f t="shared" si="24"/>
        <v>Satria</v>
      </c>
      <c r="M34" s="25">
        <f t="shared" ref="M34:R34" si="25">M24*D15</f>
        <v>0.1110940297</v>
      </c>
      <c r="N34" s="25">
        <f t="shared" si="25"/>
        <v>0.11335202</v>
      </c>
      <c r="O34" s="25">
        <f t="shared" si="25"/>
        <v>0.03624439078</v>
      </c>
      <c r="P34" s="25">
        <f t="shared" si="25"/>
        <v>0.03707669991</v>
      </c>
      <c r="Q34" s="25">
        <f t="shared" si="25"/>
        <v>0.05557748089</v>
      </c>
      <c r="R34" s="25">
        <f t="shared" si="25"/>
        <v>0.01875484434</v>
      </c>
    </row>
    <row r="35" ht="18.0" customHeight="1">
      <c r="K35" s="13">
        <f t="shared" ref="K35:L35" si="26">K25</f>
        <v>6</v>
      </c>
      <c r="L35" s="8" t="str">
        <f t="shared" si="26"/>
        <v>Aufa Salsabila</v>
      </c>
      <c r="M35" s="25">
        <f t="shared" ref="M35:R35" si="27">M25*D15</f>
        <v>0.1182154418</v>
      </c>
      <c r="N35" s="25">
        <f t="shared" si="27"/>
        <v>0.1092049949</v>
      </c>
      <c r="O35" s="25">
        <f t="shared" si="27"/>
        <v>0.03850966521</v>
      </c>
      <c r="P35" s="25">
        <f t="shared" si="27"/>
        <v>0.03902810517</v>
      </c>
      <c r="Q35" s="25">
        <f t="shared" si="27"/>
        <v>0.05698450573</v>
      </c>
      <c r="R35" s="25">
        <f t="shared" si="27"/>
        <v>0.01704985849</v>
      </c>
    </row>
    <row r="36" ht="18.0" customHeight="1">
      <c r="K36" s="13">
        <f t="shared" ref="K36:L36" si="28">K26</f>
        <v>7</v>
      </c>
      <c r="L36" s="8" t="str">
        <f t="shared" si="28"/>
        <v>Raihan Dwi Ananda H.</v>
      </c>
      <c r="M36" s="25">
        <f t="shared" ref="M36:R36" si="29">M26*D15</f>
        <v>0.1139425945</v>
      </c>
      <c r="N36" s="25">
        <f t="shared" si="29"/>
        <v>0.1174990451</v>
      </c>
      <c r="O36" s="25">
        <f t="shared" si="29"/>
        <v>0.03986882986</v>
      </c>
      <c r="P36" s="25">
        <f t="shared" si="29"/>
        <v>0.0400038078</v>
      </c>
      <c r="Q36" s="25">
        <f t="shared" si="29"/>
        <v>0.05909504297</v>
      </c>
      <c r="R36" s="25">
        <f t="shared" si="29"/>
        <v>0.02216481603</v>
      </c>
    </row>
    <row r="37" ht="19.5" customHeight="1">
      <c r="K37" s="27" t="s">
        <v>118</v>
      </c>
      <c r="L37" s="2"/>
      <c r="M37" s="24">
        <f t="shared" ref="M37:Q37" si="30">MAX(M30:M36)</f>
        <v>0.125336854</v>
      </c>
      <c r="N37" s="24">
        <f t="shared" si="30"/>
        <v>0.1244107537</v>
      </c>
      <c r="O37" s="24">
        <f t="shared" si="30"/>
        <v>0.04077493963</v>
      </c>
      <c r="P37" s="24">
        <f t="shared" si="30"/>
        <v>0.04146736175</v>
      </c>
      <c r="Q37" s="24">
        <f t="shared" si="30"/>
        <v>0.06190909264</v>
      </c>
      <c r="R37" s="24">
        <f>MIN(R30:R36)</f>
        <v>0.01193490094</v>
      </c>
    </row>
    <row r="38" ht="19.5" customHeight="1">
      <c r="K38" s="28" t="s">
        <v>119</v>
      </c>
      <c r="L38" s="2"/>
      <c r="M38" s="24">
        <f t="shared" ref="M38:Q38" si="31">MIN(M30:M36)</f>
        <v>0.0996997702</v>
      </c>
      <c r="N38" s="24">
        <f t="shared" si="31"/>
        <v>0.09952860293</v>
      </c>
      <c r="O38" s="24">
        <f t="shared" si="31"/>
        <v>0.03397911636</v>
      </c>
      <c r="P38" s="24">
        <f t="shared" si="31"/>
        <v>0.0331738894</v>
      </c>
      <c r="Q38" s="24">
        <f t="shared" si="31"/>
        <v>0.04994938156</v>
      </c>
      <c r="R38" s="24">
        <f>MAX(R30:R36)</f>
        <v>0.02386980188</v>
      </c>
    </row>
    <row r="39" ht="14.25" customHeight="1"/>
    <row r="40" ht="24.0" customHeight="1">
      <c r="T40" s="16" t="s">
        <v>120</v>
      </c>
      <c r="U40" s="20"/>
      <c r="V40" s="20"/>
      <c r="W40" s="20"/>
      <c r="X40" s="20"/>
      <c r="Y40" s="20"/>
      <c r="Z40" s="2"/>
      <c r="AA40" s="29"/>
      <c r="AB40" s="29"/>
      <c r="AC40" s="29"/>
      <c r="AD40" s="29"/>
      <c r="AE40" s="30"/>
    </row>
    <row r="41" ht="42.0" customHeight="1">
      <c r="T41" s="12" t="s">
        <v>60</v>
      </c>
      <c r="U41" s="12" t="s">
        <v>99</v>
      </c>
      <c r="V41" s="12" t="s">
        <v>121</v>
      </c>
      <c r="W41" s="12" t="s">
        <v>122</v>
      </c>
      <c r="X41" s="12" t="s">
        <v>123</v>
      </c>
      <c r="Y41" s="12" t="s">
        <v>124</v>
      </c>
      <c r="Z41" s="12" t="s">
        <v>125</v>
      </c>
    </row>
    <row r="42" ht="24.0" customHeight="1">
      <c r="T42" s="13">
        <f t="shared" ref="T42:U42" si="32">K30</f>
        <v>1</v>
      </c>
      <c r="U42" s="8" t="str">
        <f t="shared" si="32"/>
        <v>Haniel Wijanarko</v>
      </c>
      <c r="V42" s="25">
        <f>SQRT((M30-M37)^2+(N30-N37)^2+(O30-O37)^2+(P30-P37)^2+(Q30-Q37)^2+(R30-R37)^2)</f>
        <v>0.01542841832</v>
      </c>
      <c r="W42" s="25">
        <f>SQRT((M30-M38)^2+(N30-N38)^2+(O30-O38)^2+(P30-P38)^2+(Q30-Q38)^2+(R30-R38)^2)</f>
        <v>0.02696074039</v>
      </c>
      <c r="X42" s="25">
        <f t="shared" ref="X42:X48" si="34">W42/(V42+W42)</f>
        <v>0.6360291455</v>
      </c>
      <c r="Y42" s="13">
        <f>RANK(X42,X42:X48,0)</f>
        <v>2</v>
      </c>
      <c r="Z42" s="31" t="str">
        <f t="shared" ref="Z42:Z48" si="35">IF(Y42&lt;=3,"✓ DITERIMA","–")</f>
        <v>✓ DITERIMA</v>
      </c>
    </row>
    <row r="43" ht="24.0" customHeight="1">
      <c r="T43" s="13">
        <f t="shared" ref="T43:U43" si="33">K31</f>
        <v>2</v>
      </c>
      <c r="U43" s="8" t="str">
        <f t="shared" si="33"/>
        <v>Farhan</v>
      </c>
      <c r="V43" s="25">
        <f>SQRT((M31-M37)^2+(N31-N37)^2+(O31-O37)^2+(P31-P37)^2+(Q31-Q37)^2+(R31-R37)^2)</f>
        <v>0.025510481</v>
      </c>
      <c r="W43" s="25">
        <f>SQRT((M31-M38)^2+(N31-N38)^2+(O31-O38)^2+(P31-P38)^2+(Q31-Q38)^2+(R31-R38)^2)</f>
        <v>0.0169657256</v>
      </c>
      <c r="X43" s="25">
        <f t="shared" si="34"/>
        <v>0.3994171551</v>
      </c>
      <c r="Y43" s="13">
        <f>RANK(X43,X42:X48,0)</f>
        <v>6</v>
      </c>
      <c r="Z43" s="13" t="str">
        <f t="shared" si="35"/>
        <v>–</v>
      </c>
    </row>
    <row r="44" ht="24.0" customHeight="1">
      <c r="T44" s="13">
        <f t="shared" ref="T44:U44" si="36">K32</f>
        <v>3</v>
      </c>
      <c r="U44" s="8" t="str">
        <f t="shared" si="36"/>
        <v>Faqih Ardiansyah</v>
      </c>
      <c r="V44" s="25">
        <f>SQRT((M32-M37)^2+(N32-N37)^2+(O32-O37)^2+(P32-P37)^2+(Q32-Q37)^2+(R32-R37)^2)</f>
        <v>0.01193490094</v>
      </c>
      <c r="W44" s="25">
        <f>SQRT((M32-M38)^2+(N32-N38)^2+(O32-O38)^2+(P32-P38)^2+(Q32-Q38)^2+(R32-R38)^2)</f>
        <v>0.03917117659</v>
      </c>
      <c r="X44" s="25">
        <f t="shared" si="34"/>
        <v>0.7664680696</v>
      </c>
      <c r="Y44" s="13">
        <f>RANK(X44,X42:X48,0)</f>
        <v>1</v>
      </c>
      <c r="Z44" s="13" t="str">
        <f t="shared" si="35"/>
        <v>✓ DITERIMA</v>
      </c>
    </row>
    <row r="45" ht="24.0" customHeight="1">
      <c r="T45" s="13">
        <f t="shared" ref="T45:U45" si="37">K33</f>
        <v>4</v>
      </c>
      <c r="U45" s="8" t="str">
        <f t="shared" si="37"/>
        <v>Pancar</v>
      </c>
      <c r="V45" s="25">
        <f>SQRT((M33-M37)^2+(N33-N37)^2+(O33-O37)^2+(P33-P37)^2+(Q33-Q37)^2+(R33-R37)^2)</f>
        <v>0.03917117659</v>
      </c>
      <c r="W45" s="25">
        <f>SQRT((M33-M38)^2+(N33-N38)^2+(O33-O38)^2+(P33-P38)^2+(Q33-Q38)^2+(R33-R38)^2)</f>
        <v>0.01193490094</v>
      </c>
      <c r="X45" s="25">
        <f t="shared" si="34"/>
        <v>0.2335319304</v>
      </c>
      <c r="Y45" s="13">
        <f>RANK(X45,X42:X48,0)</f>
        <v>7</v>
      </c>
      <c r="Z45" s="13" t="str">
        <f t="shared" si="35"/>
        <v>–</v>
      </c>
    </row>
    <row r="46" ht="24.0" customHeight="1">
      <c r="T46" s="13">
        <f t="shared" ref="T46:U46" si="38">K34</f>
        <v>5</v>
      </c>
      <c r="U46" s="8" t="str">
        <f t="shared" si="38"/>
        <v>Satria</v>
      </c>
      <c r="V46" s="25">
        <f>SQRT((M34-M37)^2+(N34-N37)^2+(O34-O37)^2+(P34-P37)^2+(Q34-Q37)^2+(R34-R37)^2)</f>
        <v>0.02124990245</v>
      </c>
      <c r="W46" s="25">
        <f>SQRT((M34-M38)^2+(N34-N38)^2+(O34-O38)^2+(P34-P38)^2+(Q34-Q38)^2+(R34-R38)^2)</f>
        <v>0.0199779303</v>
      </c>
      <c r="X46" s="25">
        <f t="shared" si="34"/>
        <v>0.4845738659</v>
      </c>
      <c r="Y46" s="13">
        <f>RANK(X46,X42:X48,0)</f>
        <v>5</v>
      </c>
      <c r="Z46" s="13" t="str">
        <f t="shared" si="35"/>
        <v>–</v>
      </c>
    </row>
    <row r="47" ht="24.0" customHeight="1">
      <c r="T47" s="13">
        <f t="shared" ref="T47:U47" si="39">K35</f>
        <v>6</v>
      </c>
      <c r="U47" s="8" t="str">
        <f t="shared" si="39"/>
        <v>Aufa Salsabila</v>
      </c>
      <c r="V47" s="25">
        <f>SQRT((M35-M37)^2+(N35-N37)^2+(O35-O37)^2+(P35-P37)^2+(Q35-Q37)^2+(R35-R37)^2)</f>
        <v>0.01853174031</v>
      </c>
      <c r="W47" s="25">
        <f>SQRT((M35-M38)^2+(N35-N38)^2+(O35-O38)^2+(P35-P38)^2+(Q35-Q38)^2+(R35-R38)^2)</f>
        <v>0.02423355053</v>
      </c>
      <c r="X47" s="25">
        <f t="shared" si="34"/>
        <v>0.5666639944</v>
      </c>
      <c r="Y47" s="13">
        <f>RANK(X47,X42:X48,0)</f>
        <v>4</v>
      </c>
      <c r="Z47" s="13" t="str">
        <f t="shared" si="35"/>
        <v>–</v>
      </c>
    </row>
    <row r="48" ht="24.0" customHeight="1">
      <c r="T48" s="13">
        <f t="shared" ref="T48:U48" si="40">K36</f>
        <v>7</v>
      </c>
      <c r="U48" s="8" t="str">
        <f t="shared" si="40"/>
        <v>Raihan Dwi Ananda H.</v>
      </c>
      <c r="V48" s="25">
        <f>SQRT((M36-M37)^2+(N36-N37)^2+(O36-O37)^2+(P36-P37)^2+(Q36-Q37)^2+(R36-R37)^2)</f>
        <v>0.01712115436</v>
      </c>
      <c r="W48" s="25">
        <f>SQRT((M36-M38)^2+(N36-N38)^2+(O36-O38)^2+(P36-P38)^2+(Q36-Q38)^2+(R36-R38)^2)</f>
        <v>0.026337833</v>
      </c>
      <c r="X48" s="25">
        <f t="shared" si="34"/>
        <v>0.6060388103</v>
      </c>
      <c r="Y48" s="13">
        <f>RANK(X48,X42:X48,0)</f>
        <v>3</v>
      </c>
      <c r="Z48" s="32" t="str">
        <f t="shared" si="35"/>
        <v>✓ DITERIMA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K28:R28"/>
    <mergeCell ref="K37:L37"/>
    <mergeCell ref="K38:L38"/>
    <mergeCell ref="T40:Z40"/>
    <mergeCell ref="B2:AE2"/>
    <mergeCell ref="B5:I5"/>
    <mergeCell ref="B14:C14"/>
    <mergeCell ref="B15:C15"/>
    <mergeCell ref="B16:C16"/>
    <mergeCell ref="K18:R18"/>
    <mergeCell ref="B3:AE3"/>
  </mergeCells>
  <conditionalFormatting sqref="Z42:Z48">
    <cfRule type="expression" dxfId="0" priority="1">
      <formula>Z42="✓ DITERIMA"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.0"/>
    <col customWidth="1" min="3" max="3" width="24.0"/>
    <col customWidth="1" min="4" max="9" width="12.0"/>
    <col customWidth="1" min="10" max="10" width="3.0"/>
    <col customWidth="1" min="11" max="11" width="12.0"/>
    <col customWidth="1" min="12" max="12" width="21.14"/>
    <col customWidth="1" min="13" max="16" width="12.0"/>
    <col customWidth="1" min="17" max="17" width="11.29"/>
    <col customWidth="1" min="18" max="20" width="12.0"/>
    <col customWidth="1" min="21" max="21" width="21.29"/>
    <col customWidth="1" min="22" max="23" width="12.0"/>
    <col customWidth="1" min="24" max="24" width="13.71"/>
    <col customWidth="1" min="25" max="25" width="12.0"/>
    <col customWidth="1" min="26" max="26" width="15.43"/>
    <col customWidth="1" min="27" max="27" width="3.0"/>
    <col customWidth="1" min="28" max="28" width="6.0"/>
    <col customWidth="1" min="29" max="29" width="12.0"/>
    <col customWidth="1" min="30" max="30" width="14.0"/>
    <col customWidth="1" min="31" max="31" width="12.0"/>
  </cols>
  <sheetData>
    <row r="1" ht="14.25" customHeight="1"/>
    <row r="2" ht="37.5" customHeight="1">
      <c r="B2" s="33" t="s">
        <v>126</v>
      </c>
    </row>
    <row r="3" ht="15.0" customHeight="1">
      <c r="B3" s="23" t="s">
        <v>97</v>
      </c>
    </row>
    <row r="4" ht="14.25" customHeight="1"/>
    <row r="5" ht="24.0" customHeight="1">
      <c r="B5" s="34" t="s">
        <v>98</v>
      </c>
      <c r="C5" s="20"/>
      <c r="D5" s="20"/>
      <c r="E5" s="20"/>
      <c r="F5" s="20"/>
      <c r="G5" s="20"/>
      <c r="H5" s="20"/>
      <c r="I5" s="2"/>
    </row>
    <row r="6" ht="42.0" customHeight="1">
      <c r="B6" s="35" t="s">
        <v>60</v>
      </c>
      <c r="C6" s="35" t="s">
        <v>99</v>
      </c>
      <c r="D6" s="35" t="s">
        <v>63</v>
      </c>
      <c r="E6" s="35" t="s">
        <v>100</v>
      </c>
      <c r="F6" s="35" t="s">
        <v>65</v>
      </c>
      <c r="G6" s="35" t="s">
        <v>66</v>
      </c>
      <c r="H6" s="35" t="s">
        <v>67</v>
      </c>
      <c r="I6" s="35" t="s">
        <v>101</v>
      </c>
    </row>
    <row r="7" ht="18.0" customHeight="1">
      <c r="B7" s="36">
        <v>1.0</v>
      </c>
      <c r="C7" s="37" t="s">
        <v>77</v>
      </c>
      <c r="D7" s="36">
        <v>77.0</v>
      </c>
      <c r="E7" s="36">
        <v>80.0</v>
      </c>
      <c r="F7" s="36">
        <v>78.0</v>
      </c>
      <c r="G7" s="36">
        <v>74.0</v>
      </c>
      <c r="H7" s="36">
        <v>76.0</v>
      </c>
      <c r="I7" s="36">
        <v>40.0</v>
      </c>
    </row>
    <row r="8" ht="18.0" customHeight="1">
      <c r="B8" s="36">
        <v>2.0</v>
      </c>
      <c r="C8" s="37" t="s">
        <v>75</v>
      </c>
      <c r="D8" s="36">
        <v>83.0</v>
      </c>
      <c r="E8" s="36">
        <v>81.0</v>
      </c>
      <c r="F8" s="36">
        <v>85.0</v>
      </c>
      <c r="G8" s="36">
        <v>80.0</v>
      </c>
      <c r="H8" s="36">
        <v>80.0</v>
      </c>
      <c r="I8" s="36">
        <v>50.0</v>
      </c>
    </row>
    <row r="9" ht="18.0" customHeight="1">
      <c r="B9" s="36">
        <v>3.0</v>
      </c>
      <c r="C9" s="37" t="s">
        <v>79</v>
      </c>
      <c r="D9" s="36">
        <v>72.0</v>
      </c>
      <c r="E9" s="36">
        <v>75.0</v>
      </c>
      <c r="F9" s="36">
        <v>70.0</v>
      </c>
      <c r="G9" s="36">
        <v>70.0</v>
      </c>
      <c r="H9" s="36">
        <v>73.0</v>
      </c>
      <c r="I9" s="36">
        <v>55.0</v>
      </c>
    </row>
    <row r="10" ht="18.0" customHeight="1">
      <c r="B10" s="36">
        <v>4.0</v>
      </c>
      <c r="C10" s="37" t="s">
        <v>80</v>
      </c>
      <c r="D10" s="36">
        <v>79.0</v>
      </c>
      <c r="E10" s="36">
        <v>83.0</v>
      </c>
      <c r="F10" s="36">
        <v>82.0</v>
      </c>
      <c r="G10" s="36">
        <v>77.0</v>
      </c>
      <c r="H10" s="36">
        <v>80.0</v>
      </c>
      <c r="I10" s="36">
        <v>45.0</v>
      </c>
    </row>
    <row r="11" ht="18.0" customHeight="1">
      <c r="B11" s="36">
        <v>5.0</v>
      </c>
      <c r="C11" s="37" t="s">
        <v>81</v>
      </c>
      <c r="D11" s="36">
        <v>85.0</v>
      </c>
      <c r="E11" s="36">
        <v>87.0</v>
      </c>
      <c r="F11" s="36">
        <v>88.0</v>
      </c>
      <c r="G11" s="36">
        <v>83.0</v>
      </c>
      <c r="H11" s="36">
        <v>86.0</v>
      </c>
      <c r="I11" s="36">
        <v>60.0</v>
      </c>
    </row>
    <row r="12" ht="18.0" customHeight="1">
      <c r="B12" s="36">
        <v>6.0</v>
      </c>
      <c r="C12" s="37" t="s">
        <v>82</v>
      </c>
      <c r="D12" s="36">
        <v>74.0</v>
      </c>
      <c r="E12" s="36">
        <v>76.0</v>
      </c>
      <c r="F12" s="36">
        <v>77.0</v>
      </c>
      <c r="G12" s="36">
        <v>72.0</v>
      </c>
      <c r="H12" s="36">
        <v>75.0</v>
      </c>
      <c r="I12" s="36">
        <v>38.0</v>
      </c>
    </row>
    <row r="13" ht="15.0" customHeight="1">
      <c r="B13" s="38" t="s">
        <v>102</v>
      </c>
      <c r="C13" s="2"/>
      <c r="D13" s="39">
        <f t="shared" ref="D13:I13" si="1">SQRT(SUMPRODUCT(D7:D12,D7:D12))</f>
        <v>192.2082204</v>
      </c>
      <c r="E13" s="39">
        <f t="shared" si="1"/>
        <v>197.0279168</v>
      </c>
      <c r="F13" s="39">
        <f t="shared" si="1"/>
        <v>196.484096</v>
      </c>
      <c r="G13" s="39">
        <f t="shared" si="1"/>
        <v>186.4886056</v>
      </c>
      <c r="H13" s="39">
        <f t="shared" si="1"/>
        <v>192.1613905</v>
      </c>
      <c r="I13" s="39">
        <f t="shared" si="1"/>
        <v>119.1385748</v>
      </c>
    </row>
    <row r="14" ht="19.5" customHeight="1">
      <c r="B14" s="38" t="s">
        <v>103</v>
      </c>
      <c r="C14" s="2"/>
      <c r="D14" s="40">
        <v>0.3</v>
      </c>
      <c r="E14" s="40">
        <v>0.3</v>
      </c>
      <c r="F14" s="40">
        <v>0.1</v>
      </c>
      <c r="G14" s="40">
        <v>0.1</v>
      </c>
      <c r="H14" s="40">
        <v>0.15</v>
      </c>
      <c r="I14" s="40">
        <v>0.05</v>
      </c>
    </row>
    <row r="15" ht="19.5" customHeight="1">
      <c r="B15" s="38" t="s">
        <v>35</v>
      </c>
      <c r="C15" s="2"/>
      <c r="D15" s="41" t="s">
        <v>39</v>
      </c>
      <c r="E15" s="41" t="s">
        <v>39</v>
      </c>
      <c r="F15" s="41" t="s">
        <v>39</v>
      </c>
      <c r="G15" s="41" t="s">
        <v>39</v>
      </c>
      <c r="H15" s="41" t="s">
        <v>39</v>
      </c>
      <c r="I15" s="41" t="s">
        <v>55</v>
      </c>
    </row>
    <row r="16" ht="14.25" customHeight="1"/>
    <row r="17" ht="24.0" customHeight="1">
      <c r="K17" s="34" t="s">
        <v>104</v>
      </c>
      <c r="L17" s="20"/>
      <c r="M17" s="20"/>
      <c r="N17" s="20"/>
      <c r="O17" s="20"/>
      <c r="P17" s="20"/>
      <c r="Q17" s="20"/>
      <c r="R17" s="2"/>
    </row>
    <row r="18" ht="21.75" customHeight="1">
      <c r="K18" s="35" t="s">
        <v>60</v>
      </c>
      <c r="L18" s="35" t="s">
        <v>99</v>
      </c>
      <c r="M18" s="35" t="s">
        <v>105</v>
      </c>
      <c r="N18" s="35" t="s">
        <v>106</v>
      </c>
      <c r="O18" s="35" t="s">
        <v>107</v>
      </c>
      <c r="P18" s="35" t="s">
        <v>108</v>
      </c>
      <c r="Q18" s="35" t="s">
        <v>109</v>
      </c>
      <c r="R18" s="35" t="s">
        <v>110</v>
      </c>
    </row>
    <row r="19" ht="18.0" customHeight="1">
      <c r="K19" s="36">
        <f t="shared" ref="K19:L19" si="2">B7</f>
        <v>1</v>
      </c>
      <c r="L19" s="37" t="str">
        <f t="shared" si="2"/>
        <v>Ferdi Waskito</v>
      </c>
      <c r="M19" s="42">
        <f t="shared" ref="M19:R19" si="3">D7/D13</f>
        <v>0.4006072156</v>
      </c>
      <c r="N19" s="42">
        <f t="shared" si="3"/>
        <v>0.4060338316</v>
      </c>
      <c r="O19" s="42">
        <f t="shared" si="3"/>
        <v>0.3969786948</v>
      </c>
      <c r="P19" s="42">
        <f t="shared" si="3"/>
        <v>0.3968070852</v>
      </c>
      <c r="Q19" s="42">
        <f t="shared" si="3"/>
        <v>0.395500885</v>
      </c>
      <c r="R19" s="42">
        <f t="shared" si="3"/>
        <v>0.3357434825</v>
      </c>
    </row>
    <row r="20" ht="18.0" customHeight="1">
      <c r="K20" s="36">
        <f t="shared" ref="K20:L20" si="4">B8</f>
        <v>2</v>
      </c>
      <c r="L20" s="37" t="str">
        <f t="shared" si="4"/>
        <v>Aufa Salsabila</v>
      </c>
      <c r="M20" s="42">
        <f t="shared" ref="M20:R20" si="5">D8/D13</f>
        <v>0.4318233623</v>
      </c>
      <c r="N20" s="42">
        <f t="shared" si="5"/>
        <v>0.4111092545</v>
      </c>
      <c r="O20" s="42">
        <f t="shared" si="5"/>
        <v>0.4326049879</v>
      </c>
      <c r="P20" s="42">
        <f t="shared" si="5"/>
        <v>0.4289806327</v>
      </c>
      <c r="Q20" s="42">
        <f t="shared" si="5"/>
        <v>0.416316721</v>
      </c>
      <c r="R20" s="42">
        <f t="shared" si="5"/>
        <v>0.4196793532</v>
      </c>
    </row>
    <row r="21" ht="18.0" customHeight="1">
      <c r="K21" s="36">
        <f t="shared" ref="K21:L21" si="6">B9</f>
        <v>3</v>
      </c>
      <c r="L21" s="37" t="str">
        <f t="shared" si="6"/>
        <v>Ali Muhammad Firdaus</v>
      </c>
      <c r="M21" s="42">
        <f t="shared" ref="M21:R21" si="7">D9/D13</f>
        <v>0.37459376</v>
      </c>
      <c r="N21" s="42">
        <f t="shared" si="7"/>
        <v>0.3806567172</v>
      </c>
      <c r="O21" s="42">
        <f t="shared" si="7"/>
        <v>0.3562629312</v>
      </c>
      <c r="P21" s="42">
        <f t="shared" si="7"/>
        <v>0.3753580536</v>
      </c>
      <c r="Q21" s="42">
        <f t="shared" si="7"/>
        <v>0.3798890079</v>
      </c>
      <c r="R21" s="42">
        <f t="shared" si="7"/>
        <v>0.4616472885</v>
      </c>
    </row>
    <row r="22" ht="18.0" customHeight="1">
      <c r="K22" s="36">
        <f t="shared" ref="K22:L22" si="8">B10</f>
        <v>4</v>
      </c>
      <c r="L22" s="37" t="str">
        <f t="shared" si="8"/>
        <v>Latifa</v>
      </c>
      <c r="M22" s="42">
        <f t="shared" ref="M22:R22" si="9">D10/D13</f>
        <v>0.4110125978</v>
      </c>
      <c r="N22" s="42">
        <f t="shared" si="9"/>
        <v>0.4212601003</v>
      </c>
      <c r="O22" s="42">
        <f t="shared" si="9"/>
        <v>0.4173365766</v>
      </c>
      <c r="P22" s="42">
        <f t="shared" si="9"/>
        <v>0.412893859</v>
      </c>
      <c r="Q22" s="42">
        <f t="shared" si="9"/>
        <v>0.416316721</v>
      </c>
      <c r="R22" s="42">
        <f t="shared" si="9"/>
        <v>0.3777114179</v>
      </c>
    </row>
    <row r="23" ht="18.0" customHeight="1">
      <c r="K23" s="36">
        <f t="shared" ref="K23:L23" si="10">B11</f>
        <v>5</v>
      </c>
      <c r="L23" s="37" t="str">
        <f t="shared" si="10"/>
        <v>Fikry Mumtaz</v>
      </c>
      <c r="M23" s="42">
        <f t="shared" ref="M23:R23" si="11">D11/D13</f>
        <v>0.4422287445</v>
      </c>
      <c r="N23" s="42">
        <f t="shared" si="11"/>
        <v>0.4415617919</v>
      </c>
      <c r="O23" s="42">
        <f t="shared" si="11"/>
        <v>0.4478733993</v>
      </c>
      <c r="P23" s="42">
        <f t="shared" si="11"/>
        <v>0.4450674064</v>
      </c>
      <c r="Q23" s="42">
        <f t="shared" si="11"/>
        <v>0.4475404751</v>
      </c>
      <c r="R23" s="42">
        <f t="shared" si="11"/>
        <v>0.5036152238</v>
      </c>
    </row>
    <row r="24" ht="18.0" customHeight="1">
      <c r="K24" s="36">
        <f t="shared" ref="K24:L24" si="12">B12</f>
        <v>6</v>
      </c>
      <c r="L24" s="37" t="str">
        <f t="shared" si="12"/>
        <v>Talitha</v>
      </c>
      <c r="M24" s="42">
        <f t="shared" ref="M24:R24" si="13">D12/D13</f>
        <v>0.3849991423</v>
      </c>
      <c r="N24" s="42">
        <f t="shared" si="13"/>
        <v>0.3857321401</v>
      </c>
      <c r="O24" s="42">
        <f t="shared" si="13"/>
        <v>0.3918892244</v>
      </c>
      <c r="P24" s="42">
        <f t="shared" si="13"/>
        <v>0.3860825694</v>
      </c>
      <c r="Q24" s="42">
        <f t="shared" si="13"/>
        <v>0.390296926</v>
      </c>
      <c r="R24" s="42">
        <f t="shared" si="13"/>
        <v>0.3189563084</v>
      </c>
    </row>
    <row r="25" ht="14.25" customHeight="1">
      <c r="K25" s="43"/>
      <c r="L25" s="43"/>
      <c r="M25" s="43"/>
      <c r="N25" s="43"/>
      <c r="O25" s="43"/>
      <c r="P25" s="43"/>
      <c r="Q25" s="43"/>
      <c r="R25" s="43"/>
    </row>
    <row r="26" ht="24.0" customHeight="1">
      <c r="K26" s="34" t="s">
        <v>111</v>
      </c>
      <c r="L26" s="20"/>
      <c r="M26" s="20"/>
      <c r="N26" s="20"/>
      <c r="O26" s="20"/>
      <c r="P26" s="20"/>
      <c r="Q26" s="20"/>
      <c r="R26" s="2"/>
    </row>
    <row r="27" ht="21.75" customHeight="1">
      <c r="K27" s="35" t="s">
        <v>60</v>
      </c>
      <c r="L27" s="35" t="s">
        <v>99</v>
      </c>
      <c r="M27" s="35" t="s">
        <v>112</v>
      </c>
      <c r="N27" s="35" t="s">
        <v>113</v>
      </c>
      <c r="O27" s="35" t="s">
        <v>114</v>
      </c>
      <c r="P27" s="35" t="s">
        <v>115</v>
      </c>
      <c r="Q27" s="35" t="s">
        <v>116</v>
      </c>
      <c r="R27" s="35" t="s">
        <v>117</v>
      </c>
    </row>
    <row r="28" ht="18.0" customHeight="1">
      <c r="K28" s="36">
        <f t="shared" ref="K28:L28" si="14">K19</f>
        <v>1</v>
      </c>
      <c r="L28" s="37" t="str">
        <f t="shared" si="14"/>
        <v>Ferdi Waskito</v>
      </c>
      <c r="M28" s="42">
        <f t="shared" ref="M28:R28" si="15">M19*D14</f>
        <v>0.1201821647</v>
      </c>
      <c r="N28" s="42">
        <f t="shared" si="15"/>
        <v>0.1218101495</v>
      </c>
      <c r="O28" s="42">
        <f t="shared" si="15"/>
        <v>0.03969786948</v>
      </c>
      <c r="P28" s="42">
        <f t="shared" si="15"/>
        <v>0.03968070852</v>
      </c>
      <c r="Q28" s="42">
        <f t="shared" si="15"/>
        <v>0.05932513274</v>
      </c>
      <c r="R28" s="42">
        <f t="shared" si="15"/>
        <v>0.01678717413</v>
      </c>
    </row>
    <row r="29" ht="18.0" customHeight="1">
      <c r="K29" s="36">
        <f t="shared" ref="K29:L29" si="16">K20</f>
        <v>2</v>
      </c>
      <c r="L29" s="37" t="str">
        <f t="shared" si="16"/>
        <v>Aufa Salsabila</v>
      </c>
      <c r="M29" s="42">
        <f t="shared" ref="M29:R29" si="17">M20*D14</f>
        <v>0.1295470087</v>
      </c>
      <c r="N29" s="42">
        <f t="shared" si="17"/>
        <v>0.1233327764</v>
      </c>
      <c r="O29" s="42">
        <f t="shared" si="17"/>
        <v>0.04326049879</v>
      </c>
      <c r="P29" s="42">
        <f t="shared" si="17"/>
        <v>0.04289806327</v>
      </c>
      <c r="Q29" s="42">
        <f t="shared" si="17"/>
        <v>0.06244750815</v>
      </c>
      <c r="R29" s="42">
        <f t="shared" si="17"/>
        <v>0.02098396766</v>
      </c>
    </row>
    <row r="30" ht="18.0" customHeight="1">
      <c r="K30" s="36">
        <f t="shared" ref="K30:L30" si="18">K21</f>
        <v>3</v>
      </c>
      <c r="L30" s="37" t="str">
        <f t="shared" si="18"/>
        <v>Ali Muhammad Firdaus</v>
      </c>
      <c r="M30" s="42">
        <f t="shared" ref="M30:R30" si="19">M21*D14</f>
        <v>0.112378128</v>
      </c>
      <c r="N30" s="42">
        <f t="shared" si="19"/>
        <v>0.1141970151</v>
      </c>
      <c r="O30" s="42">
        <f t="shared" si="19"/>
        <v>0.03562629312</v>
      </c>
      <c r="P30" s="42">
        <f t="shared" si="19"/>
        <v>0.03753580536</v>
      </c>
      <c r="Q30" s="42">
        <f t="shared" si="19"/>
        <v>0.05698335119</v>
      </c>
      <c r="R30" s="42">
        <f t="shared" si="19"/>
        <v>0.02308236442</v>
      </c>
    </row>
    <row r="31" ht="18.0" customHeight="1">
      <c r="K31" s="36">
        <f t="shared" ref="K31:L31" si="20">K22</f>
        <v>4</v>
      </c>
      <c r="L31" s="37" t="str">
        <f t="shared" si="20"/>
        <v>Latifa</v>
      </c>
      <c r="M31" s="42">
        <f t="shared" ref="M31:R31" si="21">M22*D14</f>
        <v>0.1233037793</v>
      </c>
      <c r="N31" s="42">
        <f t="shared" si="21"/>
        <v>0.1263780301</v>
      </c>
      <c r="O31" s="42">
        <f t="shared" si="21"/>
        <v>0.04173365766</v>
      </c>
      <c r="P31" s="42">
        <f t="shared" si="21"/>
        <v>0.0412893859</v>
      </c>
      <c r="Q31" s="42">
        <f t="shared" si="21"/>
        <v>0.06244750815</v>
      </c>
      <c r="R31" s="42">
        <f t="shared" si="21"/>
        <v>0.01888557089</v>
      </c>
    </row>
    <row r="32" ht="18.0" customHeight="1">
      <c r="K32" s="36">
        <f t="shared" ref="K32:L32" si="22">K23</f>
        <v>5</v>
      </c>
      <c r="L32" s="37" t="str">
        <f t="shared" si="22"/>
        <v>Fikry Mumtaz</v>
      </c>
      <c r="M32" s="42">
        <f t="shared" ref="M32:R32" si="23">M23*D14</f>
        <v>0.1326686233</v>
      </c>
      <c r="N32" s="42">
        <f t="shared" si="23"/>
        <v>0.1324685376</v>
      </c>
      <c r="O32" s="42">
        <f t="shared" si="23"/>
        <v>0.04478733993</v>
      </c>
      <c r="P32" s="42">
        <f t="shared" si="23"/>
        <v>0.04450674064</v>
      </c>
      <c r="Q32" s="42">
        <f t="shared" si="23"/>
        <v>0.06713107126</v>
      </c>
      <c r="R32" s="42">
        <f t="shared" si="23"/>
        <v>0.02518076119</v>
      </c>
    </row>
    <row r="33" ht="18.0" customHeight="1">
      <c r="K33" s="36">
        <f t="shared" ref="K33:L33" si="24">K24</f>
        <v>6</v>
      </c>
      <c r="L33" s="37" t="str">
        <f t="shared" si="24"/>
        <v>Talitha</v>
      </c>
      <c r="M33" s="42">
        <f t="shared" ref="M33:R33" si="25">M24*D14</f>
        <v>0.1154997427</v>
      </c>
      <c r="N33" s="42">
        <f t="shared" si="25"/>
        <v>0.115719642</v>
      </c>
      <c r="O33" s="42">
        <f t="shared" si="25"/>
        <v>0.03918892244</v>
      </c>
      <c r="P33" s="42">
        <f t="shared" si="25"/>
        <v>0.03860825694</v>
      </c>
      <c r="Q33" s="42">
        <f t="shared" si="25"/>
        <v>0.05854453889</v>
      </c>
      <c r="R33" s="42">
        <f t="shared" si="25"/>
        <v>0.01594781542</v>
      </c>
    </row>
    <row r="34" ht="19.5" customHeight="1">
      <c r="K34" s="44" t="s">
        <v>118</v>
      </c>
      <c r="L34" s="2"/>
      <c r="M34" s="39">
        <f t="shared" ref="M34:Q34" si="26">MAX(M28:M33)</f>
        <v>0.1326686233</v>
      </c>
      <c r="N34" s="39">
        <f t="shared" si="26"/>
        <v>0.1324685376</v>
      </c>
      <c r="O34" s="39">
        <f t="shared" si="26"/>
        <v>0.04478733993</v>
      </c>
      <c r="P34" s="39">
        <f t="shared" si="26"/>
        <v>0.04450674064</v>
      </c>
      <c r="Q34" s="39">
        <f t="shared" si="26"/>
        <v>0.06713107126</v>
      </c>
      <c r="R34" s="39">
        <f>MIN(R28:R33)</f>
        <v>0.01594781542</v>
      </c>
    </row>
    <row r="35" ht="19.5" customHeight="1">
      <c r="K35" s="45" t="s">
        <v>119</v>
      </c>
      <c r="L35" s="2"/>
      <c r="M35" s="39">
        <f t="shared" ref="M35:Q35" si="27">MIN(M28:M33)</f>
        <v>0.112378128</v>
      </c>
      <c r="N35" s="39">
        <f t="shared" si="27"/>
        <v>0.1141970151</v>
      </c>
      <c r="O35" s="39">
        <f t="shared" si="27"/>
        <v>0.03562629312</v>
      </c>
      <c r="P35" s="39">
        <f t="shared" si="27"/>
        <v>0.03753580536</v>
      </c>
      <c r="Q35" s="39">
        <f t="shared" si="27"/>
        <v>0.05698335119</v>
      </c>
      <c r="R35" s="39">
        <f>MAX(R28:R33)</f>
        <v>0.02518076119</v>
      </c>
    </row>
    <row r="36" ht="14.25" customHeight="1"/>
    <row r="37" ht="24.0" customHeight="1">
      <c r="T37" s="16" t="s">
        <v>120</v>
      </c>
      <c r="U37" s="20"/>
      <c r="V37" s="20"/>
      <c r="W37" s="20"/>
      <c r="X37" s="20"/>
      <c r="Y37" s="20"/>
      <c r="Z37" s="2"/>
      <c r="AA37" s="29"/>
      <c r="AB37" s="29"/>
      <c r="AC37" s="29"/>
      <c r="AD37" s="29"/>
      <c r="AE37" s="30"/>
    </row>
    <row r="38" ht="42.0" customHeight="1">
      <c r="T38" s="12" t="s">
        <v>60</v>
      </c>
      <c r="U38" s="12" t="s">
        <v>99</v>
      </c>
      <c r="V38" s="12" t="s">
        <v>121</v>
      </c>
      <c r="W38" s="12" t="s">
        <v>122</v>
      </c>
      <c r="X38" s="12" t="s">
        <v>123</v>
      </c>
      <c r="Y38" s="12" t="s">
        <v>124</v>
      </c>
      <c r="Z38" s="12" t="s">
        <v>125</v>
      </c>
    </row>
    <row r="39" ht="18.0" customHeight="1">
      <c r="T39" s="13">
        <f t="shared" ref="T39:U39" si="28">K28</f>
        <v>1</v>
      </c>
      <c r="U39" s="8" t="str">
        <f t="shared" si="28"/>
        <v>Ferdi Waskito</v>
      </c>
      <c r="V39" s="25">
        <f>SQRT((M28-M34)^2+(N28-N34)^2+(O28-O34)^2+(P28-P34)^2+(Q28-Q34)^2+(R28-R34)^2)</f>
        <v>0.01950239424</v>
      </c>
      <c r="W39" s="25">
        <f>SQRT((M28-M35)^2+(N28-N35)^2+(O28-O35)^2+(P28-P35)^2+(Q28-Q35)^2+(R28-R35)^2)</f>
        <v>0.01469616927</v>
      </c>
      <c r="X39" s="25">
        <f t="shared" ref="X39:X44" si="30">W39/(V39+W39)</f>
        <v>0.4297306015</v>
      </c>
      <c r="Y39" s="13">
        <f>RANK(X39,X39:X44,0)</f>
        <v>4</v>
      </c>
      <c r="Z39" s="13" t="str">
        <f t="shared" ref="Z39:Z44" si="31">IF(Y39&lt;=3,"✓ DITERIMA","–")</f>
        <v>–</v>
      </c>
    </row>
    <row r="40" ht="18.0" customHeight="1">
      <c r="T40" s="13">
        <f t="shared" ref="T40:U40" si="29">K29</f>
        <v>2</v>
      </c>
      <c r="U40" s="8" t="str">
        <f t="shared" si="29"/>
        <v>Aufa Salsabila</v>
      </c>
      <c r="V40" s="25">
        <f>SQRT((M29-M34)^2+(N29-N34)^2+(O29-O34)^2+(P29-P34)^2+(Q29-Q34)^2+(R29-R34)^2)</f>
        <v>0.01205919942</v>
      </c>
      <c r="W40" s="25">
        <f>SQRT((M29-M35)^2+(N29-N35)^2+(O29-O35)^2+(P29-P35)^2+(Q29-Q35)^2+(R29-R35)^2)</f>
        <v>0.02264370972</v>
      </c>
      <c r="X40" s="25">
        <f t="shared" si="30"/>
        <v>0.6525017724</v>
      </c>
      <c r="Y40" s="13">
        <f>RANK(X40,X39:X44,0)</f>
        <v>2</v>
      </c>
      <c r="Z40" s="13" t="str">
        <f t="shared" si="31"/>
        <v>✓ DITERIMA</v>
      </c>
    </row>
    <row r="41" ht="18.0" customHeight="1">
      <c r="T41" s="13">
        <f t="shared" ref="T41:U41" si="32">K30</f>
        <v>3</v>
      </c>
      <c r="U41" s="8" t="str">
        <f t="shared" si="32"/>
        <v>Ali Muhammad Firdaus</v>
      </c>
      <c r="V41" s="25">
        <f>SQRT((M30-M34)^2+(N30-N34)^2+(O30-O34)^2+(P30-P34)^2+(Q30-Q34)^2+(R30-R34)^2)</f>
        <v>0.03212397021</v>
      </c>
      <c r="W41" s="25">
        <f>SQRT((M30-M35)^2+(N30-N35)^2+(O30-O35)^2+(P30-P35)^2+(Q30-Q35)^2+(R30-R35)^2)</f>
        <v>0.002098396766</v>
      </c>
      <c r="X41" s="25">
        <f t="shared" si="30"/>
        <v>0.06131652925</v>
      </c>
      <c r="Y41" s="13">
        <f>RANK(X41,X39:X44,0)</f>
        <v>6</v>
      </c>
      <c r="Z41" s="13" t="str">
        <f t="shared" si="31"/>
        <v>–</v>
      </c>
    </row>
    <row r="42" ht="18.0" customHeight="1">
      <c r="T42" s="13">
        <f t="shared" ref="T42:U42" si="33">K31</f>
        <v>4</v>
      </c>
      <c r="U42" s="8" t="str">
        <f t="shared" si="33"/>
        <v>Latifa</v>
      </c>
      <c r="V42" s="25">
        <f>SQRT((M31-M34)^2+(N31-N34)^2+(O31-O34)^2+(P31-P34)^2+(Q31-Q34)^2+(R31-R34)^2)</f>
        <v>0.01323015881</v>
      </c>
      <c r="W42" s="25">
        <f>SQRT((M31-M35)^2+(N31-N35)^2+(O31-O35)^2+(P31-P35)^2+(Q31-Q35)^2+(R31-R35)^2)</f>
        <v>0.01971351523</v>
      </c>
      <c r="X42" s="25">
        <f t="shared" si="30"/>
        <v>0.598400628</v>
      </c>
      <c r="Y42" s="13">
        <f>RANK(X42,X39:X44,0)</f>
        <v>3</v>
      </c>
      <c r="Z42" s="13" t="str">
        <f t="shared" si="31"/>
        <v>✓ DITERIMA</v>
      </c>
    </row>
    <row r="43" ht="18.0" customHeight="1">
      <c r="T43" s="13">
        <f t="shared" ref="T43:U43" si="34">K32</f>
        <v>5</v>
      </c>
      <c r="U43" s="8" t="str">
        <f t="shared" si="34"/>
        <v>Fikry Mumtaz</v>
      </c>
      <c r="V43" s="25">
        <f>SQRT((M32-M34)^2+(N32-N34)^2+(O32-O34)^2+(P32-P34)^2+(Q32-Q34)^2+(R32-R34)^2)</f>
        <v>0.00923294577</v>
      </c>
      <c r="W43" s="25">
        <f>SQRT((M32-M35)^2+(N32-N35)^2+(O32-O35)^2+(P32-P35)^2+(Q32-Q35)^2+(R32-R35)^2)</f>
        <v>0.03132168055</v>
      </c>
      <c r="X43" s="25">
        <f t="shared" si="30"/>
        <v>0.772333107</v>
      </c>
      <c r="Y43" s="13">
        <f>RANK(X43,X39:X44,0)</f>
        <v>1</v>
      </c>
      <c r="Z43" s="13" t="str">
        <f t="shared" si="31"/>
        <v>✓ DITERIMA</v>
      </c>
    </row>
    <row r="44" ht="18.0" customHeight="1">
      <c r="T44" s="13">
        <f t="shared" ref="T44:U44" si="35">K33</f>
        <v>6</v>
      </c>
      <c r="U44" s="8" t="str">
        <f t="shared" si="35"/>
        <v>Talitha</v>
      </c>
      <c r="V44" s="25">
        <f>SQRT((M33-M34)^2+(N33-N34)^2+(O33-O34)^2+(P33-P34)^2+(Q33-Q34)^2+(R33-R34)^2)</f>
        <v>0.02674245487</v>
      </c>
      <c r="W44" s="25">
        <f>SQRT((M33-M35)^2+(N33-N35)^2+(O33-O35)^2+(P33-P35)^2+(Q33-Q35)^2+(R33-R35)^2)</f>
        <v>0.01065785839</v>
      </c>
      <c r="X44" s="25">
        <f t="shared" si="30"/>
        <v>0.2849670887</v>
      </c>
      <c r="Y44" s="13">
        <f>RANK(X44,X39:X44,0)</f>
        <v>5</v>
      </c>
      <c r="Z44" s="13" t="str">
        <f t="shared" si="31"/>
        <v>–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K26:R26"/>
    <mergeCell ref="K34:L34"/>
    <mergeCell ref="K35:L35"/>
    <mergeCell ref="T37:Z37"/>
    <mergeCell ref="B13:C13"/>
    <mergeCell ref="B14:C14"/>
    <mergeCell ref="B15:C15"/>
    <mergeCell ref="K17:R17"/>
    <mergeCell ref="B3:AE3"/>
    <mergeCell ref="B2:AE2"/>
    <mergeCell ref="B5:I5"/>
  </mergeCells>
  <conditionalFormatting sqref="Z39:Z44">
    <cfRule type="expression" dxfId="0" priority="1">
      <formula>Z39="✓ DITERIMA"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.0"/>
    <col customWidth="1" min="3" max="3" width="24.0"/>
    <col customWidth="1" min="4" max="9" width="12.0"/>
    <col customWidth="1" min="10" max="10" width="3.0"/>
    <col customWidth="1" min="11" max="11" width="12.0"/>
    <col customWidth="1" min="12" max="12" width="19.71"/>
    <col customWidth="1" min="13" max="16" width="12.0"/>
    <col customWidth="1" min="17" max="17" width="9.71"/>
    <col customWidth="1" min="18" max="20" width="12.0"/>
    <col customWidth="1" min="21" max="21" width="21.86"/>
    <col customWidth="1" min="22" max="23" width="12.0"/>
    <col customWidth="1" min="24" max="24" width="12.57"/>
    <col customWidth="1" min="25" max="26" width="12.0"/>
    <col customWidth="1" min="27" max="27" width="3.0"/>
    <col customWidth="1" min="28" max="28" width="6.0"/>
    <col customWidth="1" min="29" max="29" width="12.0"/>
    <col customWidth="1" min="30" max="30" width="14.0"/>
    <col customWidth="1" min="31" max="31" width="12.0"/>
  </cols>
  <sheetData>
    <row r="1" ht="14.25" customHeight="1"/>
    <row r="2" ht="37.5" customHeight="1">
      <c r="B2" s="46" t="s">
        <v>127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8"/>
    </row>
    <row r="3" ht="15.0" customHeight="1">
      <c r="B3" s="49" t="s">
        <v>97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8"/>
    </row>
    <row r="4" ht="14.25" customHeight="1"/>
    <row r="5" ht="24.0" customHeight="1">
      <c r="B5" s="7" t="s">
        <v>98</v>
      </c>
      <c r="C5" s="20"/>
      <c r="D5" s="20"/>
      <c r="E5" s="20"/>
      <c r="F5" s="20"/>
      <c r="G5" s="20"/>
      <c r="H5" s="20"/>
      <c r="I5" s="2"/>
    </row>
    <row r="6" ht="42.0" customHeight="1">
      <c r="B6" s="12" t="s">
        <v>60</v>
      </c>
      <c r="C6" s="12" t="s">
        <v>99</v>
      </c>
      <c r="D6" s="12" t="s">
        <v>63</v>
      </c>
      <c r="E6" s="12" t="s">
        <v>100</v>
      </c>
      <c r="F6" s="12" t="s">
        <v>65</v>
      </c>
      <c r="G6" s="12" t="s">
        <v>66</v>
      </c>
      <c r="H6" s="12" t="s">
        <v>67</v>
      </c>
      <c r="I6" s="12" t="s">
        <v>101</v>
      </c>
    </row>
    <row r="7" ht="18.0" customHeight="1">
      <c r="B7" s="13">
        <v>1.0</v>
      </c>
      <c r="C7" s="8" t="s">
        <v>77</v>
      </c>
      <c r="D7" s="13">
        <v>77.0</v>
      </c>
      <c r="E7" s="13">
        <v>80.0</v>
      </c>
      <c r="F7" s="13">
        <v>78.0</v>
      </c>
      <c r="G7" s="13">
        <v>74.0</v>
      </c>
      <c r="H7" s="13">
        <v>76.0</v>
      </c>
      <c r="I7" s="13">
        <v>40.0</v>
      </c>
    </row>
    <row r="8" ht="18.0" customHeight="1">
      <c r="B8" s="13">
        <v>2.0</v>
      </c>
      <c r="C8" s="8" t="s">
        <v>84</v>
      </c>
      <c r="D8" s="13">
        <v>80.0</v>
      </c>
      <c r="E8" s="13">
        <v>83.0</v>
      </c>
      <c r="F8" s="13">
        <v>82.0</v>
      </c>
      <c r="G8" s="13">
        <v>79.0</v>
      </c>
      <c r="H8" s="13">
        <v>81.0</v>
      </c>
      <c r="I8" s="13">
        <v>58.0</v>
      </c>
    </row>
    <row r="9" ht="18.0" customHeight="1">
      <c r="B9" s="13">
        <v>3.0</v>
      </c>
      <c r="C9" s="8" t="s">
        <v>85</v>
      </c>
      <c r="D9" s="13">
        <v>76.0</v>
      </c>
      <c r="E9" s="13">
        <v>78.0</v>
      </c>
      <c r="F9" s="13">
        <v>80.0</v>
      </c>
      <c r="G9" s="13">
        <v>73.0</v>
      </c>
      <c r="H9" s="13">
        <v>77.0</v>
      </c>
      <c r="I9" s="13">
        <v>42.0</v>
      </c>
    </row>
    <row r="10" ht="18.0" customHeight="1">
      <c r="B10" s="13">
        <v>4.0</v>
      </c>
      <c r="C10" s="8" t="s">
        <v>86</v>
      </c>
      <c r="D10" s="13">
        <v>84.0</v>
      </c>
      <c r="E10" s="13">
        <v>86.0</v>
      </c>
      <c r="F10" s="13">
        <v>85.0</v>
      </c>
      <c r="G10" s="13">
        <v>82.0</v>
      </c>
      <c r="H10" s="13">
        <v>83.0</v>
      </c>
      <c r="I10" s="13">
        <v>55.0</v>
      </c>
    </row>
    <row r="11" ht="18.0" customHeight="1">
      <c r="B11" s="13">
        <v>5.0</v>
      </c>
      <c r="C11" s="8" t="s">
        <v>87</v>
      </c>
      <c r="D11" s="13">
        <v>79.0</v>
      </c>
      <c r="E11" s="13">
        <v>82.0</v>
      </c>
      <c r="F11" s="13">
        <v>80.0</v>
      </c>
      <c r="G11" s="13">
        <v>77.0</v>
      </c>
      <c r="H11" s="13">
        <v>80.0</v>
      </c>
      <c r="I11" s="13">
        <v>48.0</v>
      </c>
    </row>
    <row r="12" ht="18.0" customHeight="1">
      <c r="B12" s="13">
        <v>6.0</v>
      </c>
      <c r="C12" s="8" t="s">
        <v>88</v>
      </c>
      <c r="D12" s="13">
        <v>73.0</v>
      </c>
      <c r="E12" s="13">
        <v>75.0</v>
      </c>
      <c r="F12" s="13">
        <v>72.0</v>
      </c>
      <c r="G12" s="13">
        <v>71.0</v>
      </c>
      <c r="H12" s="13">
        <v>74.0</v>
      </c>
      <c r="I12" s="13">
        <v>36.0</v>
      </c>
    </row>
    <row r="13" ht="18.0" customHeight="1">
      <c r="B13" s="13">
        <v>7.0</v>
      </c>
      <c r="C13" s="8" t="s">
        <v>89</v>
      </c>
      <c r="D13" s="13">
        <v>81.0</v>
      </c>
      <c r="E13" s="13">
        <v>84.0</v>
      </c>
      <c r="F13" s="13">
        <v>83.0</v>
      </c>
      <c r="G13" s="13">
        <v>79.0</v>
      </c>
      <c r="H13" s="13">
        <v>82.0</v>
      </c>
      <c r="I13" s="13">
        <v>52.0</v>
      </c>
    </row>
    <row r="14" ht="15.0" customHeight="1">
      <c r="B14" s="16" t="s">
        <v>102</v>
      </c>
      <c r="C14" s="2"/>
      <c r="D14" s="24">
        <f t="shared" ref="D14:I14" si="1">SQRT(SUMPRODUCT(D7:D13,D7:D13))</f>
        <v>208.0672968</v>
      </c>
      <c r="E14" s="24">
        <f t="shared" si="1"/>
        <v>214.8813626</v>
      </c>
      <c r="F14" s="24">
        <f t="shared" si="1"/>
        <v>211.9103584</v>
      </c>
      <c r="G14" s="24">
        <f t="shared" si="1"/>
        <v>202.4376447</v>
      </c>
      <c r="H14" s="24">
        <f t="shared" si="1"/>
        <v>209.1769586</v>
      </c>
      <c r="I14" s="24">
        <f t="shared" si="1"/>
        <v>126.7162184</v>
      </c>
    </row>
    <row r="15" ht="19.5" customHeight="1">
      <c r="B15" s="16" t="s">
        <v>103</v>
      </c>
      <c r="C15" s="2"/>
      <c r="D15" s="17">
        <v>0.3</v>
      </c>
      <c r="E15" s="17">
        <v>0.3</v>
      </c>
      <c r="F15" s="17">
        <v>0.1</v>
      </c>
      <c r="G15" s="17">
        <v>0.1</v>
      </c>
      <c r="H15" s="17">
        <v>0.15</v>
      </c>
      <c r="I15" s="17">
        <v>0.05</v>
      </c>
    </row>
    <row r="16" ht="19.5" customHeight="1">
      <c r="B16" s="16" t="s">
        <v>35</v>
      </c>
      <c r="C16" s="2"/>
      <c r="D16" s="15" t="s">
        <v>39</v>
      </c>
      <c r="E16" s="15" t="s">
        <v>39</v>
      </c>
      <c r="F16" s="15" t="s">
        <v>39</v>
      </c>
      <c r="G16" s="15" t="s">
        <v>39</v>
      </c>
      <c r="H16" s="15" t="s">
        <v>39</v>
      </c>
      <c r="I16" s="15" t="s">
        <v>55</v>
      </c>
    </row>
    <row r="17" ht="14.25" customHeight="1"/>
    <row r="18" ht="24.0" customHeight="1">
      <c r="K18" s="7" t="s">
        <v>104</v>
      </c>
      <c r="L18" s="20"/>
      <c r="M18" s="20"/>
      <c r="N18" s="20"/>
      <c r="O18" s="20"/>
      <c r="P18" s="20"/>
      <c r="Q18" s="20"/>
      <c r="R18" s="2"/>
    </row>
    <row r="19" ht="21.75" customHeight="1">
      <c r="K19" s="12" t="s">
        <v>60</v>
      </c>
      <c r="L19" s="12" t="s">
        <v>99</v>
      </c>
      <c r="M19" s="12" t="s">
        <v>105</v>
      </c>
      <c r="N19" s="12" t="s">
        <v>106</v>
      </c>
      <c r="O19" s="12" t="s">
        <v>107</v>
      </c>
      <c r="P19" s="12" t="s">
        <v>108</v>
      </c>
      <c r="Q19" s="12" t="s">
        <v>109</v>
      </c>
      <c r="R19" s="12" t="s">
        <v>110</v>
      </c>
    </row>
    <row r="20" ht="18.0" customHeight="1">
      <c r="K20" s="13">
        <f t="shared" ref="K20:L20" si="2">B7</f>
        <v>1</v>
      </c>
      <c r="L20" s="8" t="str">
        <f t="shared" si="2"/>
        <v>Ferdi Waskito</v>
      </c>
      <c r="M20" s="25">
        <f t="shared" ref="M20:R20" si="3">D7/D14</f>
        <v>0.3700725735</v>
      </c>
      <c r="N20" s="25">
        <f t="shared" si="3"/>
        <v>0.3722984582</v>
      </c>
      <c r="O20" s="25">
        <f t="shared" si="3"/>
        <v>0.3680801665</v>
      </c>
      <c r="P20" s="25">
        <f t="shared" si="3"/>
        <v>0.3655446599</v>
      </c>
      <c r="Q20" s="25">
        <f t="shared" si="3"/>
        <v>0.3633287362</v>
      </c>
      <c r="R20" s="25">
        <f t="shared" si="3"/>
        <v>0.3156659859</v>
      </c>
    </row>
    <row r="21" ht="18.0" customHeight="1">
      <c r="K21" s="13">
        <f t="shared" ref="K21:L21" si="4">B8</f>
        <v>2</v>
      </c>
      <c r="L21" s="8" t="str">
        <f t="shared" si="4"/>
        <v>Fahmi Arif Setiawan</v>
      </c>
      <c r="M21" s="25">
        <f t="shared" ref="M21:R21" si="5">D8/D14</f>
        <v>0.3844909855</v>
      </c>
      <c r="N21" s="25">
        <f t="shared" si="5"/>
        <v>0.3862596504</v>
      </c>
      <c r="O21" s="25">
        <f t="shared" si="5"/>
        <v>0.3869560724</v>
      </c>
      <c r="P21" s="25">
        <f t="shared" si="5"/>
        <v>0.3902436235</v>
      </c>
      <c r="Q21" s="25">
        <f t="shared" si="5"/>
        <v>0.3872319425</v>
      </c>
      <c r="R21" s="25">
        <f t="shared" si="5"/>
        <v>0.4577156795</v>
      </c>
    </row>
    <row r="22" ht="18.0" customHeight="1">
      <c r="K22" s="13">
        <f t="shared" ref="K22:L22" si="6">B9</f>
        <v>3</v>
      </c>
      <c r="L22" s="8" t="str">
        <f t="shared" si="6"/>
        <v>Izaz Falih</v>
      </c>
      <c r="M22" s="25">
        <f t="shared" ref="M22:R22" si="7">D9/D14</f>
        <v>0.3652664362</v>
      </c>
      <c r="N22" s="25">
        <f t="shared" si="7"/>
        <v>0.3629909968</v>
      </c>
      <c r="O22" s="25">
        <f t="shared" si="7"/>
        <v>0.3775181195</v>
      </c>
      <c r="P22" s="25">
        <f t="shared" si="7"/>
        <v>0.3606048672</v>
      </c>
      <c r="Q22" s="25">
        <f t="shared" si="7"/>
        <v>0.3681093775</v>
      </c>
      <c r="R22" s="25">
        <f t="shared" si="7"/>
        <v>0.3314492852</v>
      </c>
    </row>
    <row r="23" ht="18.0" customHeight="1">
      <c r="K23" s="13">
        <f t="shared" ref="K23:L23" si="8">B10</f>
        <v>4</v>
      </c>
      <c r="L23" s="8" t="str">
        <f t="shared" si="8"/>
        <v>Salma F</v>
      </c>
      <c r="M23" s="25">
        <f t="shared" ref="M23:R23" si="9">D10/D14</f>
        <v>0.4037155348</v>
      </c>
      <c r="N23" s="25">
        <f t="shared" si="9"/>
        <v>0.4002208426</v>
      </c>
      <c r="O23" s="25">
        <f t="shared" si="9"/>
        <v>0.4011130019</v>
      </c>
      <c r="P23" s="25">
        <f t="shared" si="9"/>
        <v>0.4050630016</v>
      </c>
      <c r="Q23" s="25">
        <f t="shared" si="9"/>
        <v>0.396793225</v>
      </c>
      <c r="R23" s="25">
        <f t="shared" si="9"/>
        <v>0.4340407306</v>
      </c>
    </row>
    <row r="24" ht="18.0" customHeight="1">
      <c r="K24" s="13">
        <f t="shared" ref="K24:L24" si="10">B11</f>
        <v>5</v>
      </c>
      <c r="L24" s="8" t="str">
        <f t="shared" si="10"/>
        <v>Biladi</v>
      </c>
      <c r="M24" s="25">
        <f t="shared" ref="M24:R24" si="11">D11/D14</f>
        <v>0.3796848482</v>
      </c>
      <c r="N24" s="25">
        <f t="shared" si="11"/>
        <v>0.3816059197</v>
      </c>
      <c r="O24" s="25">
        <f t="shared" si="11"/>
        <v>0.3775181195</v>
      </c>
      <c r="P24" s="25">
        <f t="shared" si="11"/>
        <v>0.3803640381</v>
      </c>
      <c r="Q24" s="25">
        <f t="shared" si="11"/>
        <v>0.3824513013</v>
      </c>
      <c r="R24" s="25">
        <f t="shared" si="11"/>
        <v>0.378799183</v>
      </c>
    </row>
    <row r="25" ht="18.0" customHeight="1">
      <c r="K25" s="13">
        <f t="shared" ref="K25:L25" si="12">B12</f>
        <v>6</v>
      </c>
      <c r="L25" s="8" t="str">
        <f t="shared" si="12"/>
        <v>Nafisah</v>
      </c>
      <c r="M25" s="25">
        <f t="shared" ref="M25:R25" si="13">D12/D14</f>
        <v>0.3508480243</v>
      </c>
      <c r="N25" s="25">
        <f t="shared" si="13"/>
        <v>0.3490298046</v>
      </c>
      <c r="O25" s="25">
        <f t="shared" si="13"/>
        <v>0.3397663075</v>
      </c>
      <c r="P25" s="25">
        <f t="shared" si="13"/>
        <v>0.3507252818</v>
      </c>
      <c r="Q25" s="25">
        <f t="shared" si="13"/>
        <v>0.3537674537</v>
      </c>
      <c r="R25" s="25">
        <f t="shared" si="13"/>
        <v>0.2840993873</v>
      </c>
    </row>
    <row r="26" ht="18.0" customHeight="1">
      <c r="K26" s="13">
        <f t="shared" ref="K26:L26" si="14">B13</f>
        <v>7</v>
      </c>
      <c r="L26" s="8" t="str">
        <f t="shared" si="14"/>
        <v>Fahri</v>
      </c>
      <c r="M26" s="25">
        <f t="shared" ref="M26:R26" si="15">D13/D14</f>
        <v>0.3892971228</v>
      </c>
      <c r="N26" s="25">
        <f t="shared" si="15"/>
        <v>0.3909133811</v>
      </c>
      <c r="O26" s="25">
        <f t="shared" si="15"/>
        <v>0.3916750489</v>
      </c>
      <c r="P26" s="25">
        <f t="shared" si="15"/>
        <v>0.3902436235</v>
      </c>
      <c r="Q26" s="25">
        <f t="shared" si="15"/>
        <v>0.3920125838</v>
      </c>
      <c r="R26" s="25">
        <f t="shared" si="15"/>
        <v>0.4103657816</v>
      </c>
    </row>
    <row r="27" ht="14.25" customHeight="1">
      <c r="K27" s="26"/>
      <c r="L27" s="26"/>
      <c r="M27" s="26"/>
      <c r="N27" s="26"/>
      <c r="O27" s="26"/>
      <c r="P27" s="26"/>
      <c r="Q27" s="26"/>
      <c r="R27" s="26"/>
    </row>
    <row r="28" ht="24.0" customHeight="1">
      <c r="K28" s="7" t="s">
        <v>111</v>
      </c>
      <c r="L28" s="20"/>
      <c r="M28" s="20"/>
      <c r="N28" s="20"/>
      <c r="O28" s="20"/>
      <c r="P28" s="20"/>
      <c r="Q28" s="20"/>
      <c r="R28" s="2"/>
    </row>
    <row r="29" ht="21.75" customHeight="1">
      <c r="K29" s="12" t="s">
        <v>60</v>
      </c>
      <c r="L29" s="12" t="s">
        <v>99</v>
      </c>
      <c r="M29" s="12" t="s">
        <v>112</v>
      </c>
      <c r="N29" s="12" t="s">
        <v>113</v>
      </c>
      <c r="O29" s="12" t="s">
        <v>114</v>
      </c>
      <c r="P29" s="12" t="s">
        <v>115</v>
      </c>
      <c r="Q29" s="12" t="s">
        <v>116</v>
      </c>
      <c r="R29" s="12" t="s">
        <v>117</v>
      </c>
    </row>
    <row r="30" ht="18.0" customHeight="1">
      <c r="K30" s="13">
        <f t="shared" ref="K30:L30" si="16">K20</f>
        <v>1</v>
      </c>
      <c r="L30" s="8" t="str">
        <f t="shared" si="16"/>
        <v>Ferdi Waskito</v>
      </c>
      <c r="M30" s="25">
        <f t="shared" ref="M30:R30" si="17">M20*D15</f>
        <v>0.1110217721</v>
      </c>
      <c r="N30" s="25">
        <f t="shared" si="17"/>
        <v>0.1116895375</v>
      </c>
      <c r="O30" s="25">
        <f t="shared" si="17"/>
        <v>0.03680801665</v>
      </c>
      <c r="P30" s="25">
        <f t="shared" si="17"/>
        <v>0.03655446599</v>
      </c>
      <c r="Q30" s="25">
        <f t="shared" si="17"/>
        <v>0.05449931043</v>
      </c>
      <c r="R30" s="25">
        <f t="shared" si="17"/>
        <v>0.01578329929</v>
      </c>
    </row>
    <row r="31" ht="18.0" customHeight="1">
      <c r="K31" s="13">
        <f t="shared" ref="K31:L31" si="18">K21</f>
        <v>2</v>
      </c>
      <c r="L31" s="8" t="str">
        <f t="shared" si="18"/>
        <v>Fahmi Arif Setiawan</v>
      </c>
      <c r="M31" s="25">
        <f t="shared" ref="M31:R31" si="19">M21*D15</f>
        <v>0.1153472957</v>
      </c>
      <c r="N31" s="25">
        <f t="shared" si="19"/>
        <v>0.1158778951</v>
      </c>
      <c r="O31" s="25">
        <f t="shared" si="19"/>
        <v>0.03869560724</v>
      </c>
      <c r="P31" s="25">
        <f t="shared" si="19"/>
        <v>0.03902436235</v>
      </c>
      <c r="Q31" s="25">
        <f t="shared" si="19"/>
        <v>0.05808479138</v>
      </c>
      <c r="R31" s="25">
        <f t="shared" si="19"/>
        <v>0.02288578398</v>
      </c>
    </row>
    <row r="32" ht="18.0" customHeight="1">
      <c r="K32" s="13">
        <f t="shared" ref="K32:L32" si="20">K22</f>
        <v>3</v>
      </c>
      <c r="L32" s="8" t="str">
        <f t="shared" si="20"/>
        <v>Izaz Falih</v>
      </c>
      <c r="M32" s="25">
        <f t="shared" ref="M32:R32" si="21">M22*D15</f>
        <v>0.1095799309</v>
      </c>
      <c r="N32" s="25">
        <f t="shared" si="21"/>
        <v>0.108897299</v>
      </c>
      <c r="O32" s="25">
        <f t="shared" si="21"/>
        <v>0.03775181195</v>
      </c>
      <c r="P32" s="25">
        <f t="shared" si="21"/>
        <v>0.03606048672</v>
      </c>
      <c r="Q32" s="25">
        <f t="shared" si="21"/>
        <v>0.05521640662</v>
      </c>
      <c r="R32" s="25">
        <f t="shared" si="21"/>
        <v>0.01657246426</v>
      </c>
    </row>
    <row r="33" ht="18.0" customHeight="1">
      <c r="K33" s="13">
        <f t="shared" ref="K33:L33" si="22">K23</f>
        <v>4</v>
      </c>
      <c r="L33" s="8" t="str">
        <f t="shared" si="22"/>
        <v>Salma F</v>
      </c>
      <c r="M33" s="25">
        <f t="shared" ref="M33:R33" si="23">M23*D15</f>
        <v>0.1211146604</v>
      </c>
      <c r="N33" s="25">
        <f t="shared" si="23"/>
        <v>0.1200662528</v>
      </c>
      <c r="O33" s="25">
        <f t="shared" si="23"/>
        <v>0.04011130019</v>
      </c>
      <c r="P33" s="25">
        <f t="shared" si="23"/>
        <v>0.04050630016</v>
      </c>
      <c r="Q33" s="25">
        <f t="shared" si="23"/>
        <v>0.05951898376</v>
      </c>
      <c r="R33" s="25">
        <f t="shared" si="23"/>
        <v>0.02170203653</v>
      </c>
    </row>
    <row r="34" ht="18.0" customHeight="1">
      <c r="K34" s="13">
        <f t="shared" ref="K34:L34" si="24">K24</f>
        <v>5</v>
      </c>
      <c r="L34" s="8" t="str">
        <f t="shared" si="24"/>
        <v>Biladi</v>
      </c>
      <c r="M34" s="25">
        <f t="shared" ref="M34:R34" si="25">M24*D15</f>
        <v>0.1139054545</v>
      </c>
      <c r="N34" s="25">
        <f t="shared" si="25"/>
        <v>0.1144817759</v>
      </c>
      <c r="O34" s="25">
        <f t="shared" si="25"/>
        <v>0.03775181195</v>
      </c>
      <c r="P34" s="25">
        <f t="shared" si="25"/>
        <v>0.03803640381</v>
      </c>
      <c r="Q34" s="25">
        <f t="shared" si="25"/>
        <v>0.05736769519</v>
      </c>
      <c r="R34" s="25">
        <f t="shared" si="25"/>
        <v>0.01893995915</v>
      </c>
    </row>
    <row r="35" ht="18.0" customHeight="1">
      <c r="K35" s="13">
        <f t="shared" ref="K35:L35" si="26">K25</f>
        <v>6</v>
      </c>
      <c r="L35" s="8" t="str">
        <f t="shared" si="26"/>
        <v>Nafisah</v>
      </c>
      <c r="M35" s="25">
        <f t="shared" ref="M35:R35" si="27">M25*D15</f>
        <v>0.1052544073</v>
      </c>
      <c r="N35" s="25">
        <f t="shared" si="27"/>
        <v>0.1047089414</v>
      </c>
      <c r="O35" s="25">
        <f t="shared" si="27"/>
        <v>0.03397663075</v>
      </c>
      <c r="P35" s="25">
        <f t="shared" si="27"/>
        <v>0.03507252818</v>
      </c>
      <c r="Q35" s="25">
        <f t="shared" si="27"/>
        <v>0.05306511805</v>
      </c>
      <c r="R35" s="25">
        <f t="shared" si="27"/>
        <v>0.01420496936</v>
      </c>
    </row>
    <row r="36" ht="18.0" customHeight="1">
      <c r="K36" s="13">
        <f t="shared" ref="K36:L36" si="28">K26</f>
        <v>7</v>
      </c>
      <c r="L36" s="8" t="str">
        <f t="shared" si="28"/>
        <v>Fahri</v>
      </c>
      <c r="M36" s="25">
        <f t="shared" ref="M36:R36" si="29">M26*D15</f>
        <v>0.1167891368</v>
      </c>
      <c r="N36" s="25">
        <f t="shared" si="29"/>
        <v>0.1172740143</v>
      </c>
      <c r="O36" s="25">
        <f t="shared" si="29"/>
        <v>0.03916750489</v>
      </c>
      <c r="P36" s="25">
        <f t="shared" si="29"/>
        <v>0.03902436235</v>
      </c>
      <c r="Q36" s="25">
        <f t="shared" si="29"/>
        <v>0.05880188757</v>
      </c>
      <c r="R36" s="25">
        <f t="shared" si="29"/>
        <v>0.02051828908</v>
      </c>
    </row>
    <row r="37" ht="19.5" customHeight="1">
      <c r="K37" s="27" t="s">
        <v>118</v>
      </c>
      <c r="L37" s="2"/>
      <c r="M37" s="24">
        <f t="shared" ref="M37:Q37" si="30">MAX(M30:M36)</f>
        <v>0.1211146604</v>
      </c>
      <c r="N37" s="24">
        <f t="shared" si="30"/>
        <v>0.1200662528</v>
      </c>
      <c r="O37" s="24">
        <f t="shared" si="30"/>
        <v>0.04011130019</v>
      </c>
      <c r="P37" s="24">
        <f t="shared" si="30"/>
        <v>0.04050630016</v>
      </c>
      <c r="Q37" s="24">
        <f t="shared" si="30"/>
        <v>0.05951898376</v>
      </c>
      <c r="R37" s="24">
        <f>MIN(R30:R36)</f>
        <v>0.01420496936</v>
      </c>
    </row>
    <row r="38" ht="19.5" customHeight="1">
      <c r="K38" s="28" t="s">
        <v>119</v>
      </c>
      <c r="L38" s="2"/>
      <c r="M38" s="24">
        <f t="shared" ref="M38:Q38" si="31">MIN(M30:M36)</f>
        <v>0.1052544073</v>
      </c>
      <c r="N38" s="24">
        <f t="shared" si="31"/>
        <v>0.1047089414</v>
      </c>
      <c r="O38" s="24">
        <f t="shared" si="31"/>
        <v>0.03397663075</v>
      </c>
      <c r="P38" s="24">
        <f t="shared" si="31"/>
        <v>0.03507252818</v>
      </c>
      <c r="Q38" s="24">
        <f t="shared" si="31"/>
        <v>0.05306511805</v>
      </c>
      <c r="R38" s="24">
        <f>MAX(R30:R36)</f>
        <v>0.02288578398</v>
      </c>
    </row>
    <row r="39" ht="14.25" customHeight="1"/>
    <row r="40" ht="24.0" customHeight="1">
      <c r="T40" s="16" t="s">
        <v>120</v>
      </c>
      <c r="U40" s="20"/>
      <c r="V40" s="20"/>
      <c r="W40" s="20"/>
      <c r="X40" s="20"/>
      <c r="Y40" s="20"/>
      <c r="Z40" s="2"/>
      <c r="AA40" s="29"/>
      <c r="AB40" s="29"/>
      <c r="AC40" s="29"/>
      <c r="AD40" s="29"/>
      <c r="AE40" s="30"/>
    </row>
    <row r="41" ht="42.0" customHeight="1">
      <c r="T41" s="12" t="s">
        <v>60</v>
      </c>
      <c r="U41" s="12" t="s">
        <v>99</v>
      </c>
      <c r="V41" s="12" t="s">
        <v>121</v>
      </c>
      <c r="W41" s="12" t="s">
        <v>122</v>
      </c>
      <c r="X41" s="12" t="s">
        <v>123</v>
      </c>
      <c r="Y41" s="12" t="s">
        <v>124</v>
      </c>
      <c r="Z41" s="12" t="s">
        <v>125</v>
      </c>
    </row>
    <row r="42" ht="27.0" customHeight="1">
      <c r="T42" s="13">
        <f t="shared" ref="T42:U42" si="32">K30</f>
        <v>1</v>
      </c>
      <c r="U42" s="8" t="str">
        <f t="shared" si="32"/>
        <v>Ferdi Waskito</v>
      </c>
      <c r="V42" s="25">
        <f>SQRT((M30-M37)^2+(N30-N37)^2+(O30-O37)^2+(P30-P37)^2+(Q30-Q37)^2+(R30-R37)^2)</f>
        <v>0.01504169791</v>
      </c>
      <c r="W42" s="25">
        <f>SQRT((M30-M38)^2+(N30-N38)^2+(O30-O38)^2+(P30-P38)^2+(Q30-Q38)^2+(R30-R38)^2)</f>
        <v>0.01202939319</v>
      </c>
      <c r="X42" s="25">
        <f t="shared" ref="X42:X48" si="34">W42/(V42+W42)</f>
        <v>0.4443630714</v>
      </c>
      <c r="Y42" s="13">
        <f>RANK(X42,X42:X48,0)</f>
        <v>5</v>
      </c>
      <c r="Z42" s="13" t="str">
        <f t="shared" ref="Z42:Z48" si="35">IF(Y42&lt;=3,"✓ DITERIMA","–")</f>
        <v>–</v>
      </c>
    </row>
    <row r="43" ht="27.0" customHeight="1">
      <c r="T43" s="13">
        <f t="shared" ref="T43:U43" si="33">K31</f>
        <v>2</v>
      </c>
      <c r="U43" s="8" t="str">
        <f t="shared" si="33"/>
        <v>Fahmi Arif Setiawan</v>
      </c>
      <c r="V43" s="25">
        <f>SQRT((M31-M37)^2+(N31-N37)^2+(O31-O37)^2+(P31-P37)^2+(Q31-Q37)^2+(R31-R37)^2)</f>
        <v>0.01150732865</v>
      </c>
      <c r="W43" s="25">
        <f>SQRT((M31-M38)^2+(N31-N38)^2+(O31-O38)^2+(P31-P38)^2+(Q31-Q38)^2+(R31-R38)^2)</f>
        <v>0.01702042233</v>
      </c>
      <c r="X43" s="25">
        <f t="shared" si="34"/>
        <v>0.5966268543</v>
      </c>
      <c r="Y43" s="13">
        <f>RANK(X43,X42:X48,0)</f>
        <v>3</v>
      </c>
      <c r="Z43" s="13" t="str">
        <f t="shared" si="35"/>
        <v>✓ DITERIMA</v>
      </c>
    </row>
    <row r="44" ht="27.0" customHeight="1">
      <c r="T44" s="13">
        <f t="shared" ref="T44:U44" si="36">K32</f>
        <v>3</v>
      </c>
      <c r="U44" s="8" t="str">
        <f t="shared" si="36"/>
        <v>Izaz Falih</v>
      </c>
      <c r="V44" s="25">
        <f>SQRT((M32-M37)^2+(N32-N37)^2+(O32-O37)^2+(P32-P37)^2+(Q32-Q37)^2+(R32-R37)^2)</f>
        <v>0.01752841002</v>
      </c>
      <c r="W44" s="25">
        <f>SQRT((M32-M38)^2+(N32-N38)^2+(O32-O38)^2+(P32-P38)^2+(Q32-Q38)^2+(R32-R38)^2)</f>
        <v>0.009796254266</v>
      </c>
      <c r="X44" s="25">
        <f t="shared" si="34"/>
        <v>0.3585132524</v>
      </c>
      <c r="Y44" s="13">
        <f>RANK(X44,X42:X48,0)</f>
        <v>6</v>
      </c>
      <c r="Z44" s="13" t="str">
        <f t="shared" si="35"/>
        <v>–</v>
      </c>
    </row>
    <row r="45" ht="27.0" customHeight="1">
      <c r="T45" s="13">
        <f t="shared" ref="T45:U45" si="37">K33</f>
        <v>4</v>
      </c>
      <c r="U45" s="8" t="str">
        <f t="shared" si="37"/>
        <v>Salma F</v>
      </c>
      <c r="V45" s="25">
        <f>SQRT((M33-M37)^2+(N33-N37)^2+(O33-O37)^2+(P33-P37)^2+(Q33-Q37)^2+(R33-R37)^2)</f>
        <v>0.007497067164</v>
      </c>
      <c r="W45" s="25">
        <f>SQRT((M33-M38)^2+(N33-N38)^2+(O33-O38)^2+(P33-P38)^2+(Q33-Q38)^2+(R33-R38)^2)</f>
        <v>0.02444602894</v>
      </c>
      <c r="X45" s="25">
        <f t="shared" si="34"/>
        <v>0.7652992954</v>
      </c>
      <c r="Y45" s="13">
        <f>RANK(X45,X42:X48,0)</f>
        <v>1</v>
      </c>
      <c r="Z45" s="13" t="str">
        <f t="shared" si="35"/>
        <v>✓ DITERIMA</v>
      </c>
    </row>
    <row r="46" ht="27.0" customHeight="1">
      <c r="T46" s="13">
        <f t="shared" ref="T46:U46" si="38">K34</f>
        <v>5</v>
      </c>
      <c r="U46" s="8" t="str">
        <f t="shared" si="38"/>
        <v>Biladi</v>
      </c>
      <c r="V46" s="25">
        <f>SQRT((M34-M37)^2+(N34-N37)^2+(O34-O37)^2+(P34-P37)^2+(Q34-Q37)^2+(R34-R37)^2)</f>
        <v>0.01103969095</v>
      </c>
      <c r="W46" s="25">
        <f>SQRT((M34-M38)^2+(N34-N38)^2+(O34-O38)^2+(P34-P38)^2+(Q34-Q38)^2+(R34-R38)^2)</f>
        <v>0.01508201469</v>
      </c>
      <c r="X46" s="25">
        <f t="shared" si="34"/>
        <v>0.5773748046</v>
      </c>
      <c r="Y46" s="13">
        <f>RANK(X46,X42:X48,0)</f>
        <v>4</v>
      </c>
      <c r="Z46" s="13" t="str">
        <f t="shared" si="35"/>
        <v>–</v>
      </c>
    </row>
    <row r="47" ht="27.0" customHeight="1">
      <c r="T47" s="13">
        <f t="shared" ref="T47:U47" si="39">K35</f>
        <v>6</v>
      </c>
      <c r="U47" s="8" t="str">
        <f t="shared" si="39"/>
        <v>Nafisah</v>
      </c>
      <c r="V47" s="25">
        <f>SQRT((M35-M37)^2+(N35-N37)^2+(O35-O37)^2+(P35-P37)^2+(Q35-Q37)^2+(R35-R37)^2)</f>
        <v>0.02441735189</v>
      </c>
      <c r="W47" s="25">
        <f>SQRT((M35-M38)^2+(N35-N38)^2+(O35-O38)^2+(P35-P38)^2+(Q35-Q38)^2+(R35-R38)^2)</f>
        <v>0.008680814611</v>
      </c>
      <c r="X47" s="25">
        <f t="shared" si="34"/>
        <v>0.2622747883</v>
      </c>
      <c r="Y47" s="13">
        <f>RANK(X47,X42:X48,0)</f>
        <v>7</v>
      </c>
      <c r="Z47" s="13" t="str">
        <f t="shared" si="35"/>
        <v>–</v>
      </c>
    </row>
    <row r="48" ht="27.0" customHeight="1">
      <c r="T48" s="13">
        <f t="shared" ref="T48:U48" si="40">K36</f>
        <v>7</v>
      </c>
      <c r="U48" s="8" t="str">
        <f t="shared" si="40"/>
        <v>Fahri</v>
      </c>
      <c r="V48" s="25">
        <f>SQRT((M36-M37)^2+(N36-N37)^2+(O36-O37)^2+(P36-P37)^2+(Q36-Q37)^2+(R36-R37)^2)</f>
        <v>0.008364560468</v>
      </c>
      <c r="W48" s="25">
        <f>SQRT((M36-M38)^2+(N36-N38)^2+(O36-O38)^2+(P36-P38)^2+(Q36-Q38)^2+(R36-R38)^2)</f>
        <v>0.01928752884</v>
      </c>
      <c r="X48" s="25">
        <f t="shared" si="34"/>
        <v>0.6975071079</v>
      </c>
      <c r="Y48" s="13">
        <f>RANK(X48,X42:X48,0)</f>
        <v>2</v>
      </c>
      <c r="Z48" s="13" t="str">
        <f t="shared" si="35"/>
        <v>✓ DITERIMA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K28:R28"/>
    <mergeCell ref="K37:L37"/>
    <mergeCell ref="K38:L38"/>
    <mergeCell ref="T40:Z40"/>
    <mergeCell ref="B14:C14"/>
    <mergeCell ref="B15:C15"/>
    <mergeCell ref="B16:C16"/>
    <mergeCell ref="K18:R18"/>
    <mergeCell ref="B2:AE2"/>
    <mergeCell ref="B3:AE3"/>
    <mergeCell ref="B5:I5"/>
  </mergeCells>
  <conditionalFormatting sqref="Z42:Z48">
    <cfRule type="expression" dxfId="0" priority="1">
      <formula>Z42="✓ DITERIMA"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.0"/>
    <col customWidth="1" min="3" max="3" width="24.0"/>
    <col customWidth="1" min="4" max="9" width="12.0"/>
    <col customWidth="1" min="10" max="10" width="3.0"/>
    <col customWidth="1" min="11" max="11" width="12.0"/>
    <col customWidth="1" min="12" max="12" width="16.0"/>
    <col customWidth="1" min="13" max="13" width="11.86"/>
    <col customWidth="1" min="14" max="16" width="12.0"/>
    <col customWidth="1" min="17" max="17" width="13.29"/>
    <col customWidth="1" min="18" max="20" width="12.0"/>
    <col customWidth="1" min="21" max="21" width="22.86"/>
    <col customWidth="1" min="22" max="23" width="12.0"/>
    <col customWidth="1" min="24" max="24" width="16.43"/>
    <col customWidth="1" min="25" max="26" width="12.0"/>
    <col customWidth="1" min="27" max="27" width="3.0"/>
    <col customWidth="1" min="28" max="28" width="6.0"/>
    <col customWidth="1" min="29" max="29" width="12.0"/>
    <col customWidth="1" min="30" max="30" width="14.0"/>
    <col customWidth="1" min="31" max="31" width="12.0"/>
  </cols>
  <sheetData>
    <row r="1" ht="14.25" customHeight="1"/>
    <row r="2" ht="37.5" customHeight="1">
      <c r="B2" s="50" t="s">
        <v>128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8"/>
    </row>
    <row r="3" ht="15.0" customHeight="1">
      <c r="B3" s="49" t="s">
        <v>97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8"/>
    </row>
    <row r="4" ht="14.25" customHeight="1"/>
    <row r="5" ht="43.5" customHeight="1">
      <c r="B5" s="34" t="s">
        <v>98</v>
      </c>
      <c r="C5" s="20"/>
      <c r="D5" s="20"/>
      <c r="E5" s="20"/>
      <c r="F5" s="20"/>
      <c r="G5" s="20"/>
      <c r="H5" s="20"/>
      <c r="I5" s="2"/>
    </row>
    <row r="6">
      <c r="B6" s="35" t="s">
        <v>60</v>
      </c>
      <c r="C6" s="35" t="s">
        <v>99</v>
      </c>
      <c r="D6" s="35" t="s">
        <v>63</v>
      </c>
      <c r="E6" s="35" t="s">
        <v>100</v>
      </c>
      <c r="F6" s="35" t="s">
        <v>65</v>
      </c>
      <c r="G6" s="35" t="s">
        <v>66</v>
      </c>
      <c r="H6" s="35" t="s">
        <v>67</v>
      </c>
      <c r="I6" s="35" t="s">
        <v>101</v>
      </c>
    </row>
    <row r="7" ht="18.0" customHeight="1">
      <c r="B7" s="36">
        <v>1.0</v>
      </c>
      <c r="C7" s="37" t="s">
        <v>69</v>
      </c>
      <c r="D7" s="36">
        <v>82.0</v>
      </c>
      <c r="E7" s="36">
        <v>85.0</v>
      </c>
      <c r="F7" s="36">
        <v>80.0</v>
      </c>
      <c r="G7" s="36">
        <v>78.0</v>
      </c>
      <c r="H7" s="36">
        <v>83.0</v>
      </c>
      <c r="I7" s="36">
        <v>60.0</v>
      </c>
    </row>
    <row r="8" ht="18.0" customHeight="1">
      <c r="B8" s="36">
        <v>2.0</v>
      </c>
      <c r="C8" s="37" t="s">
        <v>91</v>
      </c>
      <c r="D8" s="36">
        <v>78.0</v>
      </c>
      <c r="E8" s="36">
        <v>80.0</v>
      </c>
      <c r="F8" s="36">
        <v>82.0</v>
      </c>
      <c r="G8" s="36">
        <v>76.0</v>
      </c>
      <c r="H8" s="36">
        <v>79.0</v>
      </c>
      <c r="I8" s="36">
        <v>44.0</v>
      </c>
    </row>
    <row r="9" ht="18.0" customHeight="1">
      <c r="B9" s="36">
        <v>3.0</v>
      </c>
      <c r="C9" s="37" t="s">
        <v>92</v>
      </c>
      <c r="D9" s="36">
        <v>85.0</v>
      </c>
      <c r="E9" s="36">
        <v>88.0</v>
      </c>
      <c r="F9" s="36">
        <v>86.0</v>
      </c>
      <c r="G9" s="36">
        <v>83.0</v>
      </c>
      <c r="H9" s="36">
        <v>86.0</v>
      </c>
      <c r="I9" s="36">
        <v>62.0</v>
      </c>
    </row>
    <row r="10" ht="18.0" customHeight="1">
      <c r="B10" s="36">
        <v>4.0</v>
      </c>
      <c r="C10" s="37" t="s">
        <v>93</v>
      </c>
      <c r="D10" s="36">
        <v>80.0</v>
      </c>
      <c r="E10" s="36">
        <v>82.0</v>
      </c>
      <c r="F10" s="36">
        <v>84.0</v>
      </c>
      <c r="G10" s="36">
        <v>78.0</v>
      </c>
      <c r="H10" s="36">
        <v>81.0</v>
      </c>
      <c r="I10" s="36">
        <v>50.0</v>
      </c>
    </row>
    <row r="11" ht="18.0" customHeight="1">
      <c r="B11" s="36">
        <v>5.0</v>
      </c>
      <c r="C11" s="37" t="s">
        <v>94</v>
      </c>
      <c r="D11" s="36">
        <v>77.0</v>
      </c>
      <c r="E11" s="36">
        <v>79.0</v>
      </c>
      <c r="F11" s="36">
        <v>78.0</v>
      </c>
      <c r="G11" s="36">
        <v>75.0</v>
      </c>
      <c r="H11" s="36">
        <v>78.0</v>
      </c>
      <c r="I11" s="36">
        <v>42.0</v>
      </c>
    </row>
    <row r="12" ht="18.0" customHeight="1">
      <c r="B12" s="36">
        <v>6.0</v>
      </c>
      <c r="C12" s="37" t="s">
        <v>95</v>
      </c>
      <c r="D12" s="36">
        <v>76.0</v>
      </c>
      <c r="E12" s="36">
        <v>78.0</v>
      </c>
      <c r="F12" s="36">
        <v>80.0</v>
      </c>
      <c r="G12" s="36">
        <v>74.0</v>
      </c>
      <c r="H12" s="36">
        <v>77.0</v>
      </c>
      <c r="I12" s="36">
        <v>40.0</v>
      </c>
    </row>
    <row r="13" ht="15.0" customHeight="1">
      <c r="B13" s="38" t="s">
        <v>102</v>
      </c>
      <c r="C13" s="2"/>
      <c r="D13" s="39">
        <f t="shared" ref="D13:I13" si="1">SQRT(SUMPRODUCT(D7:D12,D7:D12))</f>
        <v>195.2895286</v>
      </c>
      <c r="E13" s="39">
        <f t="shared" si="1"/>
        <v>201.0422841</v>
      </c>
      <c r="F13" s="39">
        <f t="shared" si="1"/>
        <v>200.1499438</v>
      </c>
      <c r="G13" s="39">
        <f t="shared" si="1"/>
        <v>189.5626545</v>
      </c>
      <c r="H13" s="39">
        <f t="shared" si="1"/>
        <v>197.7371993</v>
      </c>
      <c r="I13" s="39">
        <f t="shared" si="1"/>
        <v>123.4665947</v>
      </c>
    </row>
    <row r="14" ht="19.5" customHeight="1">
      <c r="B14" s="38" t="s">
        <v>103</v>
      </c>
      <c r="C14" s="2"/>
      <c r="D14" s="40">
        <v>0.3</v>
      </c>
      <c r="E14" s="40">
        <v>0.3</v>
      </c>
      <c r="F14" s="40">
        <v>0.1</v>
      </c>
      <c r="G14" s="40">
        <v>0.1</v>
      </c>
      <c r="H14" s="40">
        <v>0.15</v>
      </c>
      <c r="I14" s="40">
        <v>0.05</v>
      </c>
    </row>
    <row r="15" ht="19.5" customHeight="1">
      <c r="B15" s="38" t="s">
        <v>35</v>
      </c>
      <c r="C15" s="2"/>
      <c r="D15" s="41" t="s">
        <v>39</v>
      </c>
      <c r="E15" s="41" t="s">
        <v>39</v>
      </c>
      <c r="F15" s="41" t="s">
        <v>39</v>
      </c>
      <c r="G15" s="41" t="s">
        <v>39</v>
      </c>
      <c r="H15" s="41" t="s">
        <v>39</v>
      </c>
      <c r="I15" s="41" t="s">
        <v>55</v>
      </c>
    </row>
    <row r="16" ht="14.25" customHeight="1"/>
    <row r="17" ht="24.0" customHeight="1">
      <c r="K17" s="34" t="s">
        <v>104</v>
      </c>
      <c r="L17" s="20"/>
      <c r="M17" s="20"/>
      <c r="N17" s="20"/>
      <c r="O17" s="20"/>
      <c r="P17" s="20"/>
      <c r="Q17" s="20"/>
      <c r="R17" s="2"/>
    </row>
    <row r="18" ht="21.75" customHeight="1">
      <c r="K18" s="35" t="s">
        <v>60</v>
      </c>
      <c r="L18" s="35" t="s">
        <v>99</v>
      </c>
      <c r="M18" s="35" t="s">
        <v>105</v>
      </c>
      <c r="N18" s="35" t="s">
        <v>106</v>
      </c>
      <c r="O18" s="35" t="s">
        <v>107</v>
      </c>
      <c r="P18" s="35" t="s">
        <v>108</v>
      </c>
      <c r="Q18" s="35" t="s">
        <v>109</v>
      </c>
      <c r="R18" s="35" t="s">
        <v>110</v>
      </c>
    </row>
    <row r="19" ht="18.0" customHeight="1">
      <c r="K19" s="36">
        <f t="shared" ref="K19:L19" si="2">B7</f>
        <v>1</v>
      </c>
      <c r="L19" s="37" t="str">
        <f t="shared" si="2"/>
        <v>Haniel Wijanarko</v>
      </c>
      <c r="M19" s="42">
        <f t="shared" ref="M19:R19" si="3">D7/D13</f>
        <v>0.4198893846</v>
      </c>
      <c r="N19" s="42">
        <f t="shared" si="3"/>
        <v>0.422796629</v>
      </c>
      <c r="O19" s="42">
        <f t="shared" si="3"/>
        <v>0.3997003371</v>
      </c>
      <c r="P19" s="42">
        <f t="shared" si="3"/>
        <v>0.4114734529</v>
      </c>
      <c r="Q19" s="42">
        <f t="shared" si="3"/>
        <v>0.4197490421</v>
      </c>
      <c r="R19" s="42">
        <f t="shared" si="3"/>
        <v>0.4859614065</v>
      </c>
    </row>
    <row r="20" ht="18.0" customHeight="1">
      <c r="K20" s="36">
        <f t="shared" ref="K20:L20" si="4">B8</f>
        <v>2</v>
      </c>
      <c r="L20" s="37" t="str">
        <f t="shared" si="4"/>
        <v>Yoga Adi</v>
      </c>
      <c r="M20" s="42">
        <f t="shared" ref="M20:R20" si="5">D8/D13</f>
        <v>0.3994069756</v>
      </c>
      <c r="N20" s="42">
        <f t="shared" si="5"/>
        <v>0.397926239</v>
      </c>
      <c r="O20" s="42">
        <f t="shared" si="5"/>
        <v>0.4096928455</v>
      </c>
      <c r="P20" s="42">
        <f t="shared" si="5"/>
        <v>0.4009228515</v>
      </c>
      <c r="Q20" s="42">
        <f t="shared" si="5"/>
        <v>0.3995201726</v>
      </c>
      <c r="R20" s="42">
        <f t="shared" si="5"/>
        <v>0.3563716981</v>
      </c>
    </row>
    <row r="21" ht="18.0" customHeight="1">
      <c r="K21" s="36">
        <f t="shared" ref="K21:L21" si="6">B9</f>
        <v>3</v>
      </c>
      <c r="L21" s="37" t="str">
        <f t="shared" si="6"/>
        <v>Tsaqif Hasbi A.S.</v>
      </c>
      <c r="M21" s="42">
        <f t="shared" ref="M21:R21" si="7">D9/D13</f>
        <v>0.4352511913</v>
      </c>
      <c r="N21" s="42">
        <f t="shared" si="7"/>
        <v>0.4377188629</v>
      </c>
      <c r="O21" s="42">
        <f t="shared" si="7"/>
        <v>0.4296778624</v>
      </c>
      <c r="P21" s="42">
        <f t="shared" si="7"/>
        <v>0.4378499562</v>
      </c>
      <c r="Q21" s="42">
        <f t="shared" si="7"/>
        <v>0.4349206942</v>
      </c>
      <c r="R21" s="42">
        <f t="shared" si="7"/>
        <v>0.50216012</v>
      </c>
    </row>
    <row r="22" ht="18.0" customHeight="1">
      <c r="K22" s="36">
        <f t="shared" ref="K22:L22" si="8">B10</f>
        <v>4</v>
      </c>
      <c r="L22" s="37" t="str">
        <f t="shared" si="8"/>
        <v>Gilang Happy D.</v>
      </c>
      <c r="M22" s="42">
        <f t="shared" ref="M22:R22" si="9">D10/D13</f>
        <v>0.4096481801</v>
      </c>
      <c r="N22" s="42">
        <f t="shared" si="9"/>
        <v>0.407874395</v>
      </c>
      <c r="O22" s="42">
        <f t="shared" si="9"/>
        <v>0.4196853539</v>
      </c>
      <c r="P22" s="42">
        <f t="shared" si="9"/>
        <v>0.4114734529</v>
      </c>
      <c r="Q22" s="42">
        <f t="shared" si="9"/>
        <v>0.4096346073</v>
      </c>
      <c r="R22" s="42">
        <f t="shared" si="9"/>
        <v>0.4049678387</v>
      </c>
    </row>
    <row r="23" ht="18.0" customHeight="1">
      <c r="K23" s="36">
        <f t="shared" ref="K23:L23" si="10">B11</f>
        <v>5</v>
      </c>
      <c r="L23" s="37" t="str">
        <f t="shared" si="10"/>
        <v>Athaya Raihan</v>
      </c>
      <c r="M23" s="42">
        <f t="shared" ref="M23:R23" si="11">D11/D13</f>
        <v>0.3942863733</v>
      </c>
      <c r="N23" s="42">
        <f t="shared" si="11"/>
        <v>0.392952161</v>
      </c>
      <c r="O23" s="42">
        <f t="shared" si="11"/>
        <v>0.3897078287</v>
      </c>
      <c r="P23" s="42">
        <f t="shared" si="11"/>
        <v>0.3956475508</v>
      </c>
      <c r="Q23" s="42">
        <f t="shared" si="11"/>
        <v>0.3944629552</v>
      </c>
      <c r="R23" s="42">
        <f t="shared" si="11"/>
        <v>0.3401729845</v>
      </c>
    </row>
    <row r="24" ht="18.0" customHeight="1">
      <c r="K24" s="36">
        <f t="shared" ref="K24:L24" si="12">B12</f>
        <v>6</v>
      </c>
      <c r="L24" s="37" t="str">
        <f t="shared" si="12"/>
        <v>M Umar Faiz</v>
      </c>
      <c r="M24" s="42">
        <f t="shared" ref="M24:R24" si="13">D12/D13</f>
        <v>0.3891657711</v>
      </c>
      <c r="N24" s="42">
        <f t="shared" si="13"/>
        <v>0.387978083</v>
      </c>
      <c r="O24" s="42">
        <f t="shared" si="13"/>
        <v>0.3997003371</v>
      </c>
      <c r="P24" s="42">
        <f t="shared" si="13"/>
        <v>0.3903722501</v>
      </c>
      <c r="Q24" s="42">
        <f t="shared" si="13"/>
        <v>0.3894057378</v>
      </c>
      <c r="R24" s="42">
        <f t="shared" si="13"/>
        <v>0.323974271</v>
      </c>
    </row>
    <row r="25" ht="14.25" customHeight="1">
      <c r="K25" s="43"/>
      <c r="L25" s="43"/>
      <c r="M25" s="43"/>
      <c r="N25" s="43"/>
      <c r="O25" s="43"/>
      <c r="P25" s="43"/>
      <c r="Q25" s="43"/>
      <c r="R25" s="43"/>
    </row>
    <row r="26" ht="24.0" customHeight="1">
      <c r="K26" s="34" t="s">
        <v>111</v>
      </c>
      <c r="L26" s="20"/>
      <c r="M26" s="20"/>
      <c r="N26" s="20"/>
      <c r="O26" s="20"/>
      <c r="P26" s="20"/>
      <c r="Q26" s="20"/>
      <c r="R26" s="2"/>
    </row>
    <row r="27" ht="21.75" customHeight="1">
      <c r="K27" s="35" t="s">
        <v>60</v>
      </c>
      <c r="L27" s="35" t="s">
        <v>99</v>
      </c>
      <c r="M27" s="35" t="s">
        <v>112</v>
      </c>
      <c r="N27" s="35" t="s">
        <v>113</v>
      </c>
      <c r="O27" s="35" t="s">
        <v>114</v>
      </c>
      <c r="P27" s="35" t="s">
        <v>115</v>
      </c>
      <c r="Q27" s="35" t="s">
        <v>116</v>
      </c>
      <c r="R27" s="35" t="s">
        <v>117</v>
      </c>
    </row>
    <row r="28" ht="18.0" customHeight="1">
      <c r="K28" s="36">
        <f t="shared" ref="K28:L28" si="14">K19</f>
        <v>1</v>
      </c>
      <c r="L28" s="37" t="str">
        <f t="shared" si="14"/>
        <v>Haniel Wijanarko</v>
      </c>
      <c r="M28" s="42">
        <f t="shared" ref="M28:R28" si="15">M19*D14</f>
        <v>0.1259668154</v>
      </c>
      <c r="N28" s="42">
        <f t="shared" si="15"/>
        <v>0.1268389887</v>
      </c>
      <c r="O28" s="42">
        <f t="shared" si="15"/>
        <v>0.03997003371</v>
      </c>
      <c r="P28" s="42">
        <f t="shared" si="15"/>
        <v>0.04114734529</v>
      </c>
      <c r="Q28" s="42">
        <f t="shared" si="15"/>
        <v>0.06296235631</v>
      </c>
      <c r="R28" s="42">
        <f t="shared" si="15"/>
        <v>0.02429807032</v>
      </c>
    </row>
    <row r="29" ht="18.0" customHeight="1">
      <c r="K29" s="36">
        <f t="shared" ref="K29:L29" si="16">K20</f>
        <v>2</v>
      </c>
      <c r="L29" s="37" t="str">
        <f t="shared" si="16"/>
        <v>Yoga Adi</v>
      </c>
      <c r="M29" s="42">
        <f t="shared" ref="M29:R29" si="17">M20*D14</f>
        <v>0.1198220927</v>
      </c>
      <c r="N29" s="42">
        <f t="shared" si="17"/>
        <v>0.1193778717</v>
      </c>
      <c r="O29" s="42">
        <f t="shared" si="17"/>
        <v>0.04096928455</v>
      </c>
      <c r="P29" s="42">
        <f t="shared" si="17"/>
        <v>0.04009228515</v>
      </c>
      <c r="Q29" s="42">
        <f t="shared" si="17"/>
        <v>0.05992802588</v>
      </c>
      <c r="R29" s="42">
        <f t="shared" si="17"/>
        <v>0.0178185849</v>
      </c>
    </row>
    <row r="30" ht="18.0" customHeight="1">
      <c r="K30" s="36">
        <f t="shared" ref="K30:L30" si="18">K21</f>
        <v>3</v>
      </c>
      <c r="L30" s="37" t="str">
        <f t="shared" si="18"/>
        <v>Tsaqif Hasbi A.S.</v>
      </c>
      <c r="M30" s="42">
        <f t="shared" ref="M30:R30" si="19">M21*D14</f>
        <v>0.1305753574</v>
      </c>
      <c r="N30" s="42">
        <f t="shared" si="19"/>
        <v>0.1313156589</v>
      </c>
      <c r="O30" s="42">
        <f t="shared" si="19"/>
        <v>0.04296778624</v>
      </c>
      <c r="P30" s="42">
        <f t="shared" si="19"/>
        <v>0.04378499562</v>
      </c>
      <c r="Q30" s="42">
        <f t="shared" si="19"/>
        <v>0.06523810413</v>
      </c>
      <c r="R30" s="42">
        <f t="shared" si="19"/>
        <v>0.025108006</v>
      </c>
    </row>
    <row r="31" ht="18.0" customHeight="1">
      <c r="K31" s="36">
        <f t="shared" ref="K31:L31" si="20">K22</f>
        <v>4</v>
      </c>
      <c r="L31" s="37" t="str">
        <f t="shared" si="20"/>
        <v>Gilang Happy D.</v>
      </c>
      <c r="M31" s="42">
        <f t="shared" ref="M31:R31" si="21">M22*D14</f>
        <v>0.122894454</v>
      </c>
      <c r="N31" s="42">
        <f t="shared" si="21"/>
        <v>0.1223623185</v>
      </c>
      <c r="O31" s="42">
        <f t="shared" si="21"/>
        <v>0.04196853539</v>
      </c>
      <c r="P31" s="42">
        <f t="shared" si="21"/>
        <v>0.04114734529</v>
      </c>
      <c r="Q31" s="42">
        <f t="shared" si="21"/>
        <v>0.0614451911</v>
      </c>
      <c r="R31" s="42">
        <f t="shared" si="21"/>
        <v>0.02024839194</v>
      </c>
    </row>
    <row r="32" ht="18.0" customHeight="1">
      <c r="K32" s="36">
        <f t="shared" ref="K32:L32" si="22">K23</f>
        <v>5</v>
      </c>
      <c r="L32" s="37" t="str">
        <f t="shared" si="22"/>
        <v>Athaya Raihan</v>
      </c>
      <c r="M32" s="42">
        <f t="shared" ref="M32:R32" si="23">M23*D14</f>
        <v>0.118285912</v>
      </c>
      <c r="N32" s="42">
        <f t="shared" si="23"/>
        <v>0.1178856483</v>
      </c>
      <c r="O32" s="42">
        <f t="shared" si="23"/>
        <v>0.03897078287</v>
      </c>
      <c r="P32" s="42">
        <f t="shared" si="23"/>
        <v>0.03956475508</v>
      </c>
      <c r="Q32" s="42">
        <f t="shared" si="23"/>
        <v>0.05916944328</v>
      </c>
      <c r="R32" s="42">
        <f t="shared" si="23"/>
        <v>0.01700864923</v>
      </c>
    </row>
    <row r="33" ht="18.0" customHeight="1">
      <c r="K33" s="36">
        <f t="shared" ref="K33:L33" si="24">K24</f>
        <v>6</v>
      </c>
      <c r="L33" s="37" t="str">
        <f t="shared" si="24"/>
        <v>M Umar Faiz</v>
      </c>
      <c r="M33" s="42">
        <f t="shared" ref="M33:R33" si="25">M24*D14</f>
        <v>0.1167497313</v>
      </c>
      <c r="N33" s="42">
        <f t="shared" si="25"/>
        <v>0.1163934249</v>
      </c>
      <c r="O33" s="42">
        <f t="shared" si="25"/>
        <v>0.03997003371</v>
      </c>
      <c r="P33" s="42">
        <f t="shared" si="25"/>
        <v>0.03903722501</v>
      </c>
      <c r="Q33" s="42">
        <f t="shared" si="25"/>
        <v>0.05841086067</v>
      </c>
      <c r="R33" s="42">
        <f t="shared" si="25"/>
        <v>0.01619871355</v>
      </c>
    </row>
    <row r="34" ht="19.5" customHeight="1">
      <c r="K34" s="44" t="s">
        <v>118</v>
      </c>
      <c r="L34" s="2"/>
      <c r="M34" s="39">
        <f t="shared" ref="M34:Q34" si="26">MAX(M28:M33)</f>
        <v>0.1305753574</v>
      </c>
      <c r="N34" s="39">
        <f t="shared" si="26"/>
        <v>0.1313156589</v>
      </c>
      <c r="O34" s="39">
        <f t="shared" si="26"/>
        <v>0.04296778624</v>
      </c>
      <c r="P34" s="39">
        <f t="shared" si="26"/>
        <v>0.04378499562</v>
      </c>
      <c r="Q34" s="39">
        <f t="shared" si="26"/>
        <v>0.06523810413</v>
      </c>
      <c r="R34" s="39">
        <f>MIN(R28:R33)</f>
        <v>0.01619871355</v>
      </c>
    </row>
    <row r="35" ht="19.5" customHeight="1">
      <c r="K35" s="45" t="s">
        <v>119</v>
      </c>
      <c r="L35" s="2"/>
      <c r="M35" s="39">
        <f t="shared" ref="M35:Q35" si="27">MIN(M28:M33)</f>
        <v>0.1167497313</v>
      </c>
      <c r="N35" s="39">
        <f t="shared" si="27"/>
        <v>0.1163934249</v>
      </c>
      <c r="O35" s="39">
        <f t="shared" si="27"/>
        <v>0.03897078287</v>
      </c>
      <c r="P35" s="39">
        <f t="shared" si="27"/>
        <v>0.03903722501</v>
      </c>
      <c r="Q35" s="39">
        <f t="shared" si="27"/>
        <v>0.05841086067</v>
      </c>
      <c r="R35" s="39">
        <f>MAX(R28:R33)</f>
        <v>0.025108006</v>
      </c>
    </row>
    <row r="36" ht="14.25" customHeight="1"/>
    <row r="37" ht="24.0" customHeight="1">
      <c r="T37" s="7" t="s">
        <v>120</v>
      </c>
      <c r="U37" s="20"/>
      <c r="V37" s="20"/>
      <c r="W37" s="20"/>
      <c r="X37" s="20"/>
      <c r="Y37" s="20"/>
      <c r="Z37" s="2"/>
      <c r="AA37" s="29"/>
      <c r="AB37" s="29"/>
      <c r="AC37" s="29"/>
      <c r="AD37" s="29"/>
      <c r="AE37" s="30"/>
    </row>
    <row r="38" ht="42.0" customHeight="1">
      <c r="T38" s="12" t="s">
        <v>60</v>
      </c>
      <c r="U38" s="12" t="s">
        <v>99</v>
      </c>
      <c r="V38" s="12" t="s">
        <v>121</v>
      </c>
      <c r="W38" s="12" t="s">
        <v>122</v>
      </c>
      <c r="X38" s="12" t="s">
        <v>123</v>
      </c>
      <c r="Y38" s="12" t="s">
        <v>124</v>
      </c>
      <c r="Z38" s="12" t="s">
        <v>125</v>
      </c>
    </row>
    <row r="39" ht="27.0" customHeight="1">
      <c r="T39" s="13">
        <f t="shared" ref="T39:U39" si="28">K28</f>
        <v>1</v>
      </c>
      <c r="U39" s="8" t="str">
        <f t="shared" si="28"/>
        <v>Haniel Wijanarko</v>
      </c>
      <c r="V39" s="25">
        <f>SQRT((M28-M34)^2+(N28-N34)^2+(O28-O34)^2+(P28-P34)^2+(Q28-Q34)^2+(R28-R34)^2)</f>
        <v>0.01131377759</v>
      </c>
      <c r="W39" s="25">
        <f>SQRT((M28-M35)^2+(N28-N35)^2+(O28-O35)^2+(P28-P35)^2+(Q28-Q35)^2+(R28-R35)^2)</f>
        <v>0.01486228983</v>
      </c>
      <c r="X39" s="25">
        <f t="shared" ref="X39:X44" si="30">W39/(V39+W39)</f>
        <v>0.5677816149</v>
      </c>
      <c r="Y39" s="13">
        <f>RANK(X39,X39:X44,0)</f>
        <v>2</v>
      </c>
      <c r="Z39" s="13" t="str">
        <f t="shared" ref="Z39:Z44" si="31">IF(Y39&lt;=3,"✓ DITERIMA","–")</f>
        <v>✓ DITERIMA</v>
      </c>
    </row>
    <row r="40" ht="27.0" customHeight="1">
      <c r="T40" s="13">
        <f t="shared" ref="T40:U40" si="29">K29</f>
        <v>2</v>
      </c>
      <c r="U40" s="8" t="str">
        <f t="shared" si="29"/>
        <v>Yoga Adi</v>
      </c>
      <c r="V40" s="25">
        <f>SQRT((M29-M34)^2+(N29-N34)^2+(O29-O34)^2+(P29-P34)^2+(Q29-Q34)^2+(R29-R34)^2)</f>
        <v>0.01750984005</v>
      </c>
      <c r="W40" s="25">
        <f>SQRT((M29-M35)^2+(N29-N35)^2+(O29-O35)^2+(P29-P35)^2+(Q29-Q35)^2+(R29-R35)^2)</f>
        <v>0.008882057082</v>
      </c>
      <c r="X40" s="25">
        <f t="shared" si="30"/>
        <v>0.3365448508</v>
      </c>
      <c r="Y40" s="13">
        <f>RANK(X40,X39:X44,0)</f>
        <v>4</v>
      </c>
      <c r="Z40" s="13" t="str">
        <f t="shared" si="31"/>
        <v>–</v>
      </c>
    </row>
    <row r="41" ht="27.0" customHeight="1">
      <c r="T41" s="13">
        <f t="shared" ref="T41:U41" si="32">K30</f>
        <v>3</v>
      </c>
      <c r="U41" s="8" t="str">
        <f t="shared" si="32"/>
        <v>Tsaqif Hasbi A.S.</v>
      </c>
      <c r="V41" s="25">
        <f>SQRT((M30-M34)^2+(N30-N34)^2+(O30-O34)^2+(P30-P34)^2+(Q30-Q34)^2+(R30-R34)^2)</f>
        <v>0.008909292452</v>
      </c>
      <c r="W41" s="25">
        <f>SQRT((M30-M35)^2+(N30-N35)^2+(O30-O35)^2+(P30-P35)^2+(Q30-Q35)^2+(R30-R35)^2)</f>
        <v>0.02233718017</v>
      </c>
      <c r="X41" s="25">
        <f t="shared" si="30"/>
        <v>0.7148704572</v>
      </c>
      <c r="Y41" s="13">
        <f>RANK(X41,X39:X44,0)</f>
        <v>1</v>
      </c>
      <c r="Z41" s="13" t="str">
        <f t="shared" si="31"/>
        <v>✓ DITERIMA</v>
      </c>
    </row>
    <row r="42" ht="27.0" customHeight="1">
      <c r="T42" s="13">
        <f t="shared" ref="T42:U42" si="33">K31</f>
        <v>4</v>
      </c>
      <c r="U42" s="8" t="str">
        <f t="shared" si="33"/>
        <v>Gilang Happy D.</v>
      </c>
      <c r="V42" s="25">
        <f>SQRT((M31-M34)^2+(N31-N34)^2+(O31-O34)^2+(P31-P34)^2+(Q31-Q34)^2+(R31-R34)^2)</f>
        <v>0.01333792962</v>
      </c>
      <c r="W42" s="25">
        <f>SQRT((M31-M35)^2+(N31-N35)^2+(O31-O35)^2+(P31-P35)^2+(Q31-Q35)^2+(R31-R35)^2)</f>
        <v>0.01093834747</v>
      </c>
      <c r="X42" s="25">
        <f t="shared" si="30"/>
        <v>0.4505776332</v>
      </c>
      <c r="Y42" s="13">
        <f>RANK(X42,X39:X44,0)</f>
        <v>3</v>
      </c>
      <c r="Z42" s="13" t="str">
        <f t="shared" si="31"/>
        <v>✓ DITERIMA</v>
      </c>
    </row>
    <row r="43" ht="27.0" customHeight="1">
      <c r="T43" s="13">
        <f t="shared" ref="T43:U43" si="34">K32</f>
        <v>5</v>
      </c>
      <c r="U43" s="8" t="str">
        <f t="shared" si="34"/>
        <v>Athaya Raihan</v>
      </c>
      <c r="V43" s="25">
        <f>SQRT((M32-M34)^2+(N32-N34)^2+(O32-O34)^2+(P32-P34)^2+(Q32-Q34)^2+(R32-R34)^2)</f>
        <v>0.02006655822</v>
      </c>
      <c r="W43" s="25">
        <f>SQRT((M32-M35)^2+(N32-N35)^2+(O32-O35)^2+(P32-P35)^2+(Q32-Q35)^2+(R32-R35)^2)</f>
        <v>0.008428516918</v>
      </c>
      <c r="X43" s="25">
        <f t="shared" si="30"/>
        <v>0.2957885487</v>
      </c>
      <c r="Y43" s="13">
        <f>RANK(X43,X39:X44,0)</f>
        <v>5</v>
      </c>
      <c r="Z43" s="13" t="str">
        <f t="shared" si="31"/>
        <v>–</v>
      </c>
    </row>
    <row r="44" ht="27.0" customHeight="1">
      <c r="T44" s="13">
        <f t="shared" ref="T44:U44" si="35">K33</f>
        <v>6</v>
      </c>
      <c r="U44" s="8" t="str">
        <f t="shared" si="35"/>
        <v>M Umar Faiz</v>
      </c>
      <c r="V44" s="25">
        <f>SQRT((M33-M34)^2+(N33-N34)^2+(O33-O34)^2+(P33-P34)^2+(Q33-Q34)^2+(R33-R34)^2)</f>
        <v>0.02218017363</v>
      </c>
      <c r="W44" s="25">
        <f>SQRT((M33-M35)^2+(N33-N35)^2+(O33-O35)^2+(P33-P35)^2+(Q33-Q35)^2+(R33-R35)^2)</f>
        <v>0.008965154446</v>
      </c>
      <c r="X44" s="25">
        <f t="shared" si="30"/>
        <v>0.2878490933</v>
      </c>
      <c r="Y44" s="13">
        <f>RANK(X44,X39:X44,0)</f>
        <v>6</v>
      </c>
      <c r="Z44" s="13" t="str">
        <f t="shared" si="31"/>
        <v>–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K26:R26"/>
    <mergeCell ref="K34:L34"/>
    <mergeCell ref="K35:L35"/>
    <mergeCell ref="T37:Z37"/>
    <mergeCell ref="B13:C13"/>
    <mergeCell ref="B14:C14"/>
    <mergeCell ref="B15:C15"/>
    <mergeCell ref="K17:R17"/>
    <mergeCell ref="B3:AE3"/>
    <mergeCell ref="B2:AE2"/>
    <mergeCell ref="B5:I5"/>
  </mergeCells>
  <conditionalFormatting sqref="Z39:Z44">
    <cfRule type="expression" dxfId="0" priority="1">
      <formula>Z39="✓ DITERIMA"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28.0"/>
    <col customWidth="1" min="4" max="4" width="24.0"/>
    <col customWidth="1" min="5" max="6" width="12.0"/>
    <col customWidth="1" min="7" max="7" width="17.86"/>
    <col customWidth="1" min="8" max="26" width="8.71"/>
  </cols>
  <sheetData>
    <row r="1" ht="14.25" customHeight="1"/>
    <row r="2" ht="36.0" customHeight="1">
      <c r="B2" s="19" t="s">
        <v>129</v>
      </c>
      <c r="C2" s="20"/>
      <c r="D2" s="20"/>
      <c r="E2" s="20"/>
      <c r="F2" s="20"/>
      <c r="G2" s="2"/>
    </row>
    <row r="3" ht="15.0" customHeight="1">
      <c r="B3" s="21" t="s">
        <v>130</v>
      </c>
      <c r="C3" s="10"/>
      <c r="D3" s="10"/>
      <c r="E3" s="10"/>
      <c r="F3" s="10"/>
      <c r="G3" s="4"/>
    </row>
    <row r="4" ht="14.25" customHeight="1">
      <c r="B4" s="5"/>
      <c r="C4" s="11"/>
      <c r="D4" s="11"/>
      <c r="E4" s="11"/>
      <c r="F4" s="11"/>
      <c r="G4" s="6"/>
    </row>
    <row r="5">
      <c r="B5" s="12" t="s">
        <v>60</v>
      </c>
      <c r="C5" s="12" t="s">
        <v>61</v>
      </c>
      <c r="D5" s="12" t="s">
        <v>62</v>
      </c>
      <c r="E5" s="12" t="s">
        <v>131</v>
      </c>
      <c r="F5" s="12" t="s">
        <v>124</v>
      </c>
      <c r="G5" s="12" t="s">
        <v>125</v>
      </c>
    </row>
    <row r="6" ht="21.75" customHeight="1">
      <c r="B6" s="7" t="s">
        <v>132</v>
      </c>
      <c r="C6" s="20"/>
      <c r="D6" s="20"/>
      <c r="E6" s="20"/>
      <c r="F6" s="20"/>
      <c r="G6" s="2"/>
    </row>
    <row r="7" ht="18.0" customHeight="1">
      <c r="B7" s="13">
        <v>1.0</v>
      </c>
      <c r="C7" s="8" t="str">
        <f>'Struktur Data'!U42</f>
        <v>Haniel Wijanarko</v>
      </c>
      <c r="D7" s="13" t="s">
        <v>70</v>
      </c>
      <c r="E7" s="25">
        <f>'Struktur Data'!X42</f>
        <v>0.6360291455</v>
      </c>
      <c r="F7" s="13">
        <f>'Struktur Data'!Y42</f>
        <v>2</v>
      </c>
      <c r="G7" s="13" t="str">
        <f>'Struktur Data'!Z42</f>
        <v>✓ DITERIMA</v>
      </c>
    </row>
    <row r="8" ht="18.0" customHeight="1">
      <c r="B8" s="13">
        <v>2.0</v>
      </c>
      <c r="C8" s="8" t="str">
        <f>'Struktur Data'!U43</f>
        <v>Farhan</v>
      </c>
      <c r="D8" s="13" t="s">
        <v>70</v>
      </c>
      <c r="E8" s="25">
        <f>'Struktur Data'!X43</f>
        <v>0.3994171551</v>
      </c>
      <c r="F8" s="13">
        <f>'Struktur Data'!Y43</f>
        <v>6</v>
      </c>
      <c r="G8" s="13" t="str">
        <f>'Struktur Data'!Z43</f>
        <v>–</v>
      </c>
    </row>
    <row r="9" ht="18.0" customHeight="1">
      <c r="B9" s="13">
        <v>3.0</v>
      </c>
      <c r="C9" s="8" t="str">
        <f>'Struktur Data'!U44</f>
        <v>Faqih Ardiansyah</v>
      </c>
      <c r="D9" s="13" t="s">
        <v>70</v>
      </c>
      <c r="E9" s="25">
        <f>'Struktur Data'!X44</f>
        <v>0.7664680696</v>
      </c>
      <c r="F9" s="13">
        <f>'Struktur Data'!Y44</f>
        <v>1</v>
      </c>
      <c r="G9" s="13" t="str">
        <f>'Struktur Data'!Z44</f>
        <v>✓ DITERIMA</v>
      </c>
    </row>
    <row r="10" ht="18.0" customHeight="1">
      <c r="B10" s="13">
        <v>4.0</v>
      </c>
      <c r="C10" s="8" t="str">
        <f>'Struktur Data'!U45</f>
        <v>Pancar</v>
      </c>
      <c r="D10" s="13" t="s">
        <v>70</v>
      </c>
      <c r="E10" s="25">
        <f>'Struktur Data'!X45</f>
        <v>0.2335319304</v>
      </c>
      <c r="F10" s="13">
        <f>'Struktur Data'!Y45</f>
        <v>7</v>
      </c>
      <c r="G10" s="13" t="str">
        <f>'Struktur Data'!Z45</f>
        <v>–</v>
      </c>
    </row>
    <row r="11" ht="18.0" customHeight="1">
      <c r="B11" s="13">
        <v>5.0</v>
      </c>
      <c r="C11" s="8" t="str">
        <f>'Struktur Data'!U46</f>
        <v>Satria</v>
      </c>
      <c r="D11" s="13" t="s">
        <v>70</v>
      </c>
      <c r="E11" s="25">
        <f>'Struktur Data'!X46</f>
        <v>0.4845738659</v>
      </c>
      <c r="F11" s="13">
        <f>'Struktur Data'!Y46</f>
        <v>5</v>
      </c>
      <c r="G11" s="13" t="str">
        <f>'Struktur Data'!Z46</f>
        <v>–</v>
      </c>
    </row>
    <row r="12" ht="18.0" customHeight="1">
      <c r="B12" s="13">
        <v>6.0</v>
      </c>
      <c r="C12" s="8" t="str">
        <f>'Struktur Data'!U47</f>
        <v>Aufa Salsabila</v>
      </c>
      <c r="D12" s="13" t="s">
        <v>70</v>
      </c>
      <c r="E12" s="25">
        <f>'Struktur Data'!X47</f>
        <v>0.5666639944</v>
      </c>
      <c r="F12" s="13">
        <f>'Struktur Data'!Y47</f>
        <v>4</v>
      </c>
      <c r="G12" s="13" t="str">
        <f>'Struktur Data'!Z47</f>
        <v>–</v>
      </c>
    </row>
    <row r="13" ht="18.0" customHeight="1">
      <c r="B13" s="13">
        <v>7.0</v>
      </c>
      <c r="C13" s="8" t="str">
        <f>'Struktur Data'!U48</f>
        <v>Raihan Dwi Ananda H.</v>
      </c>
      <c r="D13" s="13" t="s">
        <v>70</v>
      </c>
      <c r="E13" s="25">
        <f>'Struktur Data'!X48</f>
        <v>0.6060388103</v>
      </c>
      <c r="F13" s="13">
        <f>'Struktur Data'!Y48</f>
        <v>3</v>
      </c>
      <c r="G13" s="13" t="str">
        <f>'Struktur Data'!Z48</f>
        <v>✓ DITERIMA</v>
      </c>
    </row>
    <row r="14" ht="21.75" customHeight="1">
      <c r="B14" s="7" t="s">
        <v>133</v>
      </c>
      <c r="C14" s="20"/>
      <c r="D14" s="20"/>
      <c r="E14" s="20"/>
      <c r="F14" s="20"/>
      <c r="G14" s="2"/>
    </row>
    <row r="15" ht="18.0" customHeight="1">
      <c r="B15" s="13">
        <v>8.0</v>
      </c>
      <c r="C15" s="8" t="str">
        <f>'Basis Data'!U39</f>
        <v>Ferdi Waskito</v>
      </c>
      <c r="D15" s="13" t="s">
        <v>78</v>
      </c>
      <c r="E15" s="25">
        <f>'Basis Data'!X39</f>
        <v>0.4297306015</v>
      </c>
      <c r="F15" s="13">
        <f>'Basis Data'!Y39</f>
        <v>4</v>
      </c>
      <c r="G15" s="13" t="str">
        <f>'Basis Data'!Z39</f>
        <v>–</v>
      </c>
    </row>
    <row r="16" ht="18.0" customHeight="1">
      <c r="B16" s="13">
        <v>9.0</v>
      </c>
      <c r="C16" s="8" t="str">
        <f>'Basis Data'!U40</f>
        <v>Aufa Salsabila</v>
      </c>
      <c r="D16" s="13" t="s">
        <v>78</v>
      </c>
      <c r="E16" s="25">
        <f>'Basis Data'!X40</f>
        <v>0.6525017724</v>
      </c>
      <c r="F16" s="13">
        <f>'Basis Data'!Y40</f>
        <v>2</v>
      </c>
      <c r="G16" s="13" t="str">
        <f>'Basis Data'!Z40</f>
        <v>✓ DITERIMA</v>
      </c>
    </row>
    <row r="17" ht="18.0" customHeight="1">
      <c r="B17" s="13">
        <v>10.0</v>
      </c>
      <c r="C17" s="8" t="str">
        <f>'Basis Data'!U41</f>
        <v>Ali Muhammad Firdaus</v>
      </c>
      <c r="D17" s="13" t="s">
        <v>78</v>
      </c>
      <c r="E17" s="25">
        <f>'Basis Data'!X41</f>
        <v>0.06131652925</v>
      </c>
      <c r="F17" s="13">
        <f>'Basis Data'!Y41</f>
        <v>6</v>
      </c>
      <c r="G17" s="13" t="str">
        <f>'Basis Data'!Z41</f>
        <v>–</v>
      </c>
    </row>
    <row r="18" ht="18.0" customHeight="1">
      <c r="B18" s="13">
        <v>11.0</v>
      </c>
      <c r="C18" s="8" t="str">
        <f>'Basis Data'!U42</f>
        <v>Latifa</v>
      </c>
      <c r="D18" s="13" t="s">
        <v>78</v>
      </c>
      <c r="E18" s="25">
        <f>'Basis Data'!X42</f>
        <v>0.598400628</v>
      </c>
      <c r="F18" s="13">
        <f>'Basis Data'!Y42</f>
        <v>3</v>
      </c>
      <c r="G18" s="13" t="str">
        <f>'Basis Data'!Z42</f>
        <v>✓ DITERIMA</v>
      </c>
    </row>
    <row r="19" ht="18.0" customHeight="1">
      <c r="B19" s="13">
        <v>12.0</v>
      </c>
      <c r="C19" s="8" t="str">
        <f>'Basis Data'!U43</f>
        <v>Fikry Mumtaz</v>
      </c>
      <c r="D19" s="13" t="s">
        <v>78</v>
      </c>
      <c r="E19" s="25">
        <f>'Basis Data'!X43</f>
        <v>0.772333107</v>
      </c>
      <c r="F19" s="13">
        <f>'Basis Data'!Y43</f>
        <v>1</v>
      </c>
      <c r="G19" s="13" t="str">
        <f>'Basis Data'!Z43</f>
        <v>✓ DITERIMA</v>
      </c>
    </row>
    <row r="20" ht="18.0" customHeight="1">
      <c r="B20" s="13">
        <v>13.0</v>
      </c>
      <c r="C20" s="8" t="str">
        <f>'Basis Data'!U44</f>
        <v>Talitha</v>
      </c>
      <c r="D20" s="13" t="s">
        <v>78</v>
      </c>
      <c r="E20" s="25">
        <f>'Basis Data'!X44</f>
        <v>0.2849670887</v>
      </c>
      <c r="F20" s="13">
        <f>'Basis Data'!Y44</f>
        <v>5</v>
      </c>
      <c r="G20" s="13" t="str">
        <f>'Basis Data'!Z44</f>
        <v>–</v>
      </c>
    </row>
    <row r="21" ht="21.75" customHeight="1">
      <c r="B21" s="7" t="s">
        <v>134</v>
      </c>
      <c r="C21" s="20"/>
      <c r="D21" s="20"/>
      <c r="E21" s="20"/>
      <c r="F21" s="20"/>
      <c r="G21" s="2"/>
    </row>
    <row r="22" ht="18.0" customHeight="1">
      <c r="B22" s="13">
        <v>14.0</v>
      </c>
      <c r="C22" s="8" t="str">
        <f>'Sistem Operasi'!U42</f>
        <v>Ferdi Waskito</v>
      </c>
      <c r="D22" s="13" t="s">
        <v>83</v>
      </c>
      <c r="E22" s="25">
        <f>'Sistem Operasi'!X42</f>
        <v>0.4443630714</v>
      </c>
      <c r="F22" s="13">
        <f>'Sistem Operasi'!Y42</f>
        <v>5</v>
      </c>
      <c r="G22" s="13" t="str">
        <f>'Sistem Operasi'!Z42</f>
        <v>–</v>
      </c>
    </row>
    <row r="23" ht="18.0" customHeight="1">
      <c r="B23" s="13">
        <v>15.0</v>
      </c>
      <c r="C23" s="8" t="str">
        <f>'Sistem Operasi'!U43</f>
        <v>Fahmi Arif Setiawan</v>
      </c>
      <c r="D23" s="13" t="s">
        <v>83</v>
      </c>
      <c r="E23" s="25">
        <f>'Sistem Operasi'!X43</f>
        <v>0.5966268543</v>
      </c>
      <c r="F23" s="13">
        <f>'Sistem Operasi'!Y43</f>
        <v>3</v>
      </c>
      <c r="G23" s="13" t="str">
        <f>'Sistem Operasi'!Z43</f>
        <v>✓ DITERIMA</v>
      </c>
    </row>
    <row r="24" ht="18.0" customHeight="1">
      <c r="B24" s="13">
        <v>16.0</v>
      </c>
      <c r="C24" s="8" t="str">
        <f>'Sistem Operasi'!U44</f>
        <v>Izaz Falih</v>
      </c>
      <c r="D24" s="13" t="s">
        <v>83</v>
      </c>
      <c r="E24" s="25">
        <f>'Sistem Operasi'!X44</f>
        <v>0.3585132524</v>
      </c>
      <c r="F24" s="13">
        <f>'Sistem Operasi'!Y44</f>
        <v>6</v>
      </c>
      <c r="G24" s="13" t="str">
        <f>'Sistem Operasi'!Z44</f>
        <v>–</v>
      </c>
    </row>
    <row r="25" ht="18.0" customHeight="1">
      <c r="B25" s="13">
        <v>17.0</v>
      </c>
      <c r="C25" s="8" t="str">
        <f>'Sistem Operasi'!U45</f>
        <v>Salma F</v>
      </c>
      <c r="D25" s="13" t="s">
        <v>83</v>
      </c>
      <c r="E25" s="25">
        <f>'Sistem Operasi'!X45</f>
        <v>0.7652992954</v>
      </c>
      <c r="F25" s="13">
        <f>'Sistem Operasi'!Y45</f>
        <v>1</v>
      </c>
      <c r="G25" s="13" t="str">
        <f>'Sistem Operasi'!Z45</f>
        <v>✓ DITERIMA</v>
      </c>
    </row>
    <row r="26" ht="18.0" customHeight="1">
      <c r="B26" s="13">
        <v>18.0</v>
      </c>
      <c r="C26" s="8" t="str">
        <f>'Sistem Operasi'!U46</f>
        <v>Biladi</v>
      </c>
      <c r="D26" s="13" t="s">
        <v>83</v>
      </c>
      <c r="E26" s="25">
        <f>'Sistem Operasi'!X46</f>
        <v>0.5773748046</v>
      </c>
      <c r="F26" s="13">
        <f>'Sistem Operasi'!Y46</f>
        <v>4</v>
      </c>
      <c r="G26" s="13" t="str">
        <f>'Sistem Operasi'!Z46</f>
        <v>–</v>
      </c>
    </row>
    <row r="27" ht="18.0" customHeight="1">
      <c r="B27" s="13">
        <v>19.0</v>
      </c>
      <c r="C27" s="8" t="str">
        <f>'Sistem Operasi'!U47</f>
        <v>Nafisah</v>
      </c>
      <c r="D27" s="13" t="s">
        <v>83</v>
      </c>
      <c r="E27" s="25">
        <f>'Sistem Operasi'!X47</f>
        <v>0.2622747883</v>
      </c>
      <c r="F27" s="13">
        <f>'Sistem Operasi'!Y47</f>
        <v>7</v>
      </c>
      <c r="G27" s="13" t="str">
        <f>'Sistem Operasi'!Z47</f>
        <v>–</v>
      </c>
    </row>
    <row r="28" ht="18.0" customHeight="1">
      <c r="B28" s="13">
        <v>20.0</v>
      </c>
      <c r="C28" s="8" t="str">
        <f>'Sistem Operasi'!U48</f>
        <v>Fahri</v>
      </c>
      <c r="D28" s="13" t="s">
        <v>83</v>
      </c>
      <c r="E28" s="25">
        <f>'Sistem Operasi'!X48</f>
        <v>0.6975071079</v>
      </c>
      <c r="F28" s="13">
        <f>'Sistem Operasi'!Y48</f>
        <v>2</v>
      </c>
      <c r="G28" s="13" t="str">
        <f>'Sistem Operasi'!Z48</f>
        <v>✓ DITERIMA</v>
      </c>
    </row>
    <row r="29" ht="21.75" customHeight="1">
      <c r="B29" s="7" t="s">
        <v>135</v>
      </c>
      <c r="C29" s="20"/>
      <c r="D29" s="20"/>
      <c r="E29" s="20"/>
      <c r="F29" s="20"/>
      <c r="G29" s="2"/>
    </row>
    <row r="30" ht="18.0" customHeight="1">
      <c r="B30" s="13">
        <v>21.0</v>
      </c>
      <c r="C30" s="8" t="str">
        <f>'Pemrograman Web I'!U39</f>
        <v>Haniel Wijanarko</v>
      </c>
      <c r="D30" s="13" t="s">
        <v>90</v>
      </c>
      <c r="E30" s="25">
        <f>'Pemrograman Web I'!X39</f>
        <v>0.5677816149</v>
      </c>
      <c r="F30" s="13">
        <f>'Pemrograman Web I'!Y39</f>
        <v>2</v>
      </c>
      <c r="G30" s="13" t="str">
        <f>'Pemrograman Web I'!Z39</f>
        <v>✓ DITERIMA</v>
      </c>
    </row>
    <row r="31" ht="18.0" customHeight="1">
      <c r="B31" s="13">
        <v>22.0</v>
      </c>
      <c r="C31" s="8" t="str">
        <f>'Pemrograman Web I'!U40</f>
        <v>Yoga Adi</v>
      </c>
      <c r="D31" s="13" t="s">
        <v>90</v>
      </c>
      <c r="E31" s="25">
        <f>'Pemrograman Web I'!X40</f>
        <v>0.3365448508</v>
      </c>
      <c r="F31" s="13">
        <f>'Pemrograman Web I'!Y40</f>
        <v>4</v>
      </c>
      <c r="G31" s="13" t="str">
        <f>'Pemrograman Web I'!Z40</f>
        <v>–</v>
      </c>
    </row>
    <row r="32" ht="18.0" customHeight="1">
      <c r="B32" s="13">
        <v>23.0</v>
      </c>
      <c r="C32" s="8" t="str">
        <f>'Pemrograman Web I'!U41</f>
        <v>Tsaqif Hasbi A.S.</v>
      </c>
      <c r="D32" s="13" t="s">
        <v>90</v>
      </c>
      <c r="E32" s="25">
        <f>'Pemrograman Web I'!X41</f>
        <v>0.7148704572</v>
      </c>
      <c r="F32" s="13">
        <f>'Pemrograman Web I'!Y41</f>
        <v>1</v>
      </c>
      <c r="G32" s="13" t="str">
        <f>'Pemrograman Web I'!Z41</f>
        <v>✓ DITERIMA</v>
      </c>
    </row>
    <row r="33" ht="18.0" customHeight="1">
      <c r="B33" s="13">
        <v>24.0</v>
      </c>
      <c r="C33" s="8" t="str">
        <f>'Pemrograman Web I'!U42</f>
        <v>Gilang Happy D.</v>
      </c>
      <c r="D33" s="13" t="s">
        <v>90</v>
      </c>
      <c r="E33" s="25">
        <f>'Pemrograman Web I'!X42</f>
        <v>0.4505776332</v>
      </c>
      <c r="F33" s="13">
        <f>'Pemrograman Web I'!Y42</f>
        <v>3</v>
      </c>
      <c r="G33" s="13" t="str">
        <f>'Pemrograman Web I'!Z42</f>
        <v>✓ DITERIMA</v>
      </c>
    </row>
    <row r="34" ht="18.0" customHeight="1">
      <c r="B34" s="13">
        <v>25.0</v>
      </c>
      <c r="C34" s="8" t="str">
        <f>'Pemrograman Web I'!U43</f>
        <v>Athaya Raihan</v>
      </c>
      <c r="D34" s="13" t="s">
        <v>90</v>
      </c>
      <c r="E34" s="25">
        <f>'Pemrograman Web I'!X43</f>
        <v>0.2957885487</v>
      </c>
      <c r="F34" s="13">
        <f>'Pemrograman Web I'!Y43</f>
        <v>5</v>
      </c>
      <c r="G34" s="13" t="str">
        <f>'Pemrograman Web I'!Z43</f>
        <v>–</v>
      </c>
    </row>
    <row r="35" ht="18.0" customHeight="1">
      <c r="B35" s="13">
        <v>26.0</v>
      </c>
      <c r="C35" s="8" t="str">
        <f>'Pemrograman Web I'!U44</f>
        <v>M Umar Faiz</v>
      </c>
      <c r="D35" s="13" t="s">
        <v>90</v>
      </c>
      <c r="E35" s="25">
        <f>'Pemrograman Web I'!X44</f>
        <v>0.2878490933</v>
      </c>
      <c r="F35" s="13">
        <f>'Pemrograman Web I'!Y44</f>
        <v>6</v>
      </c>
      <c r="G35" s="13" t="str">
        <f>'Pemrograman Web I'!Z44</f>
        <v>–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6">
    <mergeCell ref="B2:G2"/>
    <mergeCell ref="B6:G6"/>
    <mergeCell ref="B14:G14"/>
    <mergeCell ref="B21:G21"/>
    <mergeCell ref="B29:G29"/>
    <mergeCell ref="B3:G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2026-05-23T02:21:49Z</dcterms:created>
  <dc:creator>openpyxl</dc:creator>
</cp:coreProperties>
</file>